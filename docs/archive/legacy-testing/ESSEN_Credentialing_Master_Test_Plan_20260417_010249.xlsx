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rategy" sheetId="2" state="visible" r:id="rId2"/>
    <sheet xmlns:r="http://schemas.openxmlformats.org/officeDocument/2006/relationships" name="Approach &amp; Pattern" sheetId="3" state="visible" r:id="rId3"/>
    <sheet xmlns:r="http://schemas.openxmlformats.org/officeDocument/2006/relationships" name="Coverage Matrix" sheetId="4" state="visible" r:id="rId4"/>
    <sheet xmlns:r="http://schemas.openxmlformats.org/officeDocument/2006/relationships" name="Master Test Plan" sheetId="5" state="visible" r:id="rId5"/>
    <sheet xmlns:r="http://schemas.openxmlformats.org/officeDocument/2006/relationships" name="Defect Log" sheetId="6" state="visible" r:id="rId6"/>
    <sheet xmlns:r="http://schemas.openxmlformats.org/officeDocument/2006/relationships" name="Sign-off" sheetId="7" state="visible" r:id="rId7"/>
  </sheets>
  <definedNames>
    <definedName name="_xlnm._FilterDatabase" localSheetId="4" hidden="1">'Master Test Plan'!$A$2:$R$176</definedName>
    <definedName name="_xlnm._FilterDatabase" localSheetId="5" hidden="1">'Defect Log'!$A$2:$R$202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12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DC2626"/>
      <sz val="10"/>
    </font>
    <font>
      <name val="Calibri"/>
      <b val="1"/>
      <color rgb="002563EB"/>
      <sz val="10"/>
    </font>
    <font>
      <name val="Calibri"/>
      <b val="1"/>
      <color rgb="00D97706"/>
      <sz val="10"/>
    </font>
  </fonts>
  <fills count="21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2563EB"/>
      </patternFill>
    </fill>
    <fill>
      <patternFill patternType="solid">
        <fgColor rgb="00F1F5F9"/>
      </patternFill>
    </fill>
    <fill>
      <patternFill patternType="solid">
        <fgColor rgb="00475569"/>
      </patternFill>
    </fill>
    <fill>
      <patternFill patternType="solid">
        <fgColor rgb="00DBEAFE"/>
      </patternFill>
    </fill>
    <fill>
      <patternFill patternType="solid">
        <fgColor rgb="00059669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C7D2FE"/>
      </patternFill>
    </fill>
    <fill>
      <patternFill patternType="solid">
        <fgColor rgb="00E0E7FF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FBCFE8"/>
      </patternFill>
    </fill>
    <fill>
      <patternFill patternType="solid">
        <fgColor rgb="00BFDBFE"/>
      </patternFill>
    </fill>
    <fill>
      <patternFill patternType="solid">
        <fgColor rgb="00EDE9FE"/>
      </patternFill>
    </fill>
    <fill>
      <patternFill patternType="solid">
        <fgColor rgb="00FED7AA"/>
      </patternFill>
    </fill>
    <fill>
      <patternFill patternType="solid">
        <fgColor rgb="00DCFCE7"/>
      </patternFill>
    </fill>
    <fill>
      <patternFill patternType="solid">
        <fgColor rgb="00BBF7D0"/>
      </patternFill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0" borderId="1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2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1F5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42" customHeight="1">
      <c r="A1" s="1" t="inlineStr">
        <is>
          <t>ESSEN Credentialing Platform</t>
        </is>
      </c>
    </row>
    <row r="2" ht="28" customHeight="1">
      <c r="A2" s="2" t="inlineStr">
        <is>
          <t>Master Test Plan &amp; Quality Engineering Tool</t>
        </is>
      </c>
    </row>
    <row r="4" ht="22" customHeight="1">
      <c r="A4" s="3" t="inlineStr">
        <is>
          <t>Document version</t>
        </is>
      </c>
      <c r="B4" s="4" t="inlineStr">
        <is>
          <t>1.0</t>
        </is>
      </c>
    </row>
    <row r="5" ht="22" customHeight="1">
      <c r="A5" s="3" t="inlineStr">
        <is>
          <t>Generated</t>
        </is>
      </c>
      <c r="B5" s="4" t="inlineStr">
        <is>
          <t>2026-04-17 01:02:49</t>
        </is>
      </c>
    </row>
    <row r="6" ht="22" customHeight="1">
      <c r="A6" s="3" t="inlineStr">
        <is>
          <t>Author</t>
        </is>
      </c>
      <c r="B6" s="4" t="inlineStr">
        <is>
          <t>QA / Master Quality Engineer</t>
        </is>
      </c>
    </row>
    <row r="7" ht="22" customHeight="1">
      <c r="A7" s="3" t="inlineStr">
        <is>
          <t>Reviewed by</t>
        </is>
      </c>
      <c r="B7" s="4" t="inlineStr">
        <is>
          <t>(initials, date)</t>
        </is>
      </c>
    </row>
    <row r="8" ht="22" customHeight="1">
      <c r="A8" s="3" t="inlineStr">
        <is>
          <t>Approved by</t>
        </is>
      </c>
      <c r="B8" s="4" t="inlineStr">
        <is>
          <t>(initials, date)</t>
        </is>
      </c>
    </row>
    <row r="9" ht="22" customHeight="1">
      <c r="A9" s="3" t="inlineStr">
        <is>
          <t>System under test</t>
        </is>
      </c>
      <c r="B9" s="4" t="inlineStr">
        <is>
          <t>ESSEN Credentialing Platform — Next.js 14 + Prisma + PostgreSQL + Redis + BullMQ + Playwright</t>
        </is>
      </c>
    </row>
    <row r="10" ht="22" customHeight="1">
      <c r="A10" s="3" t="inlineStr">
        <is>
          <t>Environment</t>
        </is>
      </c>
      <c r="B10" s="4" t="inlineStr">
        <is>
          <t>Local Docker (web :6015, worker :6025) — shared localai-postgres-1 + redis containers</t>
        </is>
      </c>
    </row>
    <row r="11" ht="22" customHeight="1">
      <c r="A11" s="3" t="inlineStr">
        <is>
          <t>Replaces</t>
        </is>
      </c>
      <c r="B11" s="4" t="inlineStr">
        <is>
          <t>PARCS — system of record for all credentialing activity at Essen Medical</t>
        </is>
      </c>
    </row>
    <row r="12" ht="22" customHeight="1">
      <c r="A12" s="3" t="inlineStr">
        <is>
          <t>Total test cases</t>
        </is>
      </c>
      <c r="B12" s="4" t="inlineStr">
        <is>
          <t>174</t>
        </is>
      </c>
    </row>
    <row r="13" ht="22" customHeight="1">
      <c r="A13" s="3" t="inlineStr">
        <is>
          <t>Sheets</t>
        </is>
      </c>
      <c r="B13" s="4" t="inlineStr">
        <is>
          <t>Cover · Strategy · Approach &amp; Pattern · Coverage Matrix · Master Test Plan · Defect Log · Sign-off</t>
        </is>
      </c>
    </row>
    <row r="14" ht="22" customHeight="1">
      <c r="A14" s="3" t="inlineStr">
        <is>
          <t>Run cadence</t>
        </is>
      </c>
      <c r="B14" s="4" t="inlineStr">
        <is>
          <t>Smoke before every deploy. Full regression every release. Continuous (CI) on every PR.</t>
        </is>
      </c>
    </row>
    <row r="15" ht="22" customHeight="1">
      <c r="A15" s="3" t="inlineStr">
        <is>
          <t>Pass criteria</t>
        </is>
      </c>
      <c r="B15" s="4" t="inlineStr">
        <is>
          <t>100% of P0 cases pass. ≥95% of P1 cases pass. Zero open Critical/High defects.</t>
        </is>
      </c>
    </row>
    <row r="17" ht="28" customHeight="1">
      <c r="A17" s="5" t="inlineStr">
        <is>
          <t>Quality Mission</t>
        </is>
      </c>
    </row>
    <row r="18" ht="80" customHeight="1">
      <c r="A18" s="4" t="inlineStr">
        <is>
          <t>Ensure the credentialing platform is fully functional, resilient, secure, consistent, and user-friendly for every role (PROVIDER, SPECIALIST, MANAGER, COMMITTEE_MEMBER, ADMIN). Validate every NCQA, HITRUST, SOC2, JC NPG-12, and CMS-0057-F obligation that this platform is designed to meet. Catch every regression before it leaves CI; surface ambiguous behavior as defects.</t>
        </is>
      </c>
    </row>
  </sheetData>
  <mergeCells count="4">
    <mergeCell ref="A18:B18"/>
    <mergeCell ref="A2:B2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36" customHeight="1">
      <c r="A1" s="1" t="inlineStr">
        <is>
          <t>Test Strategy</t>
        </is>
      </c>
    </row>
    <row r="3" ht="97" customHeight="1">
      <c r="A3" s="3" t="inlineStr">
        <is>
          <t>Scope (in)</t>
        </is>
      </c>
      <c r="B3" s="4" t="inlineStr">
        <is>
          <t>All 20 functional modules (Provider Onboarding, Staff Dashboard, Committee, Enrollments, Expirables, PSV Bots, Sanctions, NY Medicaid, Hospital Privileges, NPDB, Recredentialing, Compliance &amp; Reporting, Verifications, Roster, OPPE/FPPE, Privileging Library, CME &amp; CV, Public REST API + FHIR, Telehealth, Performance/Analytics) PLUS new 2026 features (Continuous Monitoring, Audit Packet, Conversational AI, Malpractice Carrier Verification, SFTP Real, CAQH 2026, Behavioral Health, FSMB PDC, Bot Exception Orchestrator, AI Governance, HITRUST/SOC2 Readiness, Staff Training Tracker).</t>
        </is>
      </c>
    </row>
    <row r="4" ht="40" customHeight="1">
      <c r="A4" s="3" t="inlineStr">
        <is>
          <t>Scope (out)</t>
        </is>
      </c>
      <c r="B4" s="4" t="inlineStr">
        <is>
          <t>Third-party SaaS internals (CAQH, FSMB, SAM.gov, OIG, ABMS) — only contract surface tested. Production data integrity tests (run against staging only). Penetration testing (separate engagement).</t>
        </is>
      </c>
    </row>
    <row r="5" ht="41" customHeight="1">
      <c r="A5" s="3" t="inlineStr">
        <is>
          <t>Test layers</t>
        </is>
      </c>
      <c r="B5" s="4" t="inlineStr">
        <is>
          <t>Unit (Vitest, no I/O) → Integration (Vitest + Testcontainers Postgres + mocked HTTP) → API contract (JSON Schema + FHIR profiles) → E2E (Playwright Chromium + Firefox) → Accessibility (axe) → Performance (k6) → Security (OWASP ZAP baseline + manual).</t>
        </is>
      </c>
    </row>
    <row r="6" ht="40" customHeight="1">
      <c r="A6" s="3" t="inlineStr">
        <is>
          <t>Test types per module</t>
        </is>
      </c>
      <c r="B6" s="4" t="inlineStr">
        <is>
          <t>Functional · Negative · Boundary · Security · UI · UX · Accessibility · Performance · Integration · Data integrity · Regression · API contract.</t>
        </is>
      </c>
    </row>
    <row r="7" ht="40" customHeight="1">
      <c r="A7" s="3" t="inlineStr">
        <is>
          <t>Roles exercised</t>
        </is>
      </c>
      <c r="B7" s="4" t="inlineStr">
        <is>
          <t>PROVIDER (portal), SPECIALIST (default staff), MANAGER (sup), COMMITTEE_MEMBER (vote-only), ADMIN (full). Anonymous (sign-in, public verify token pages, public REST API w/ key, FHIR).</t>
        </is>
      </c>
    </row>
    <row r="8" ht="40" customHeight="1">
      <c r="A8" s="3" t="inlineStr">
        <is>
          <t>Risk-based prioritization</t>
        </is>
      </c>
      <c r="B8" s="4" t="inlineStr">
        <is>
          <t>P0 = blocker (auth, PHI, audit, sanctions, primary credentialing flow). P1 = high (committee, enrollments, monitoring, comms). P2 = medium (analytics, admin polish, AI governance). P3 = low (cosmetic, edge browsers).</t>
        </is>
      </c>
    </row>
    <row r="9" ht="40" customHeight="1">
      <c r="A9" s="3" t="inlineStr">
        <is>
          <t>Entry criteria</t>
        </is>
      </c>
      <c r="B9" s="4" t="inlineStr">
        <is>
          <t>All deploy migrations applied · Worker containers healthy · Seed data loaded · Test users for every role created · API key with fhir:read scope generated · Test SendGrid sandbox ready · Test SFTP server (or stub) reachable.</t>
        </is>
      </c>
    </row>
    <row r="10" ht="40" customHeight="1">
      <c r="A10" s="3" t="inlineStr">
        <is>
          <t>Exit criteria</t>
        </is>
      </c>
      <c r="B10" s="4" t="inlineStr">
        <is>
          <t>100% P0 pass · ≥95% P1 pass · ≥85% P2 pass · zero open Critical/High defects · All in-flight Mediums have a documented mitigation/owner · Smoke regression green for 3 consecutive runs.</t>
        </is>
      </c>
    </row>
    <row r="11" ht="40" customHeight="1">
      <c r="A11" s="3" t="inlineStr">
        <is>
          <t>Suspension criteria</t>
        </is>
      </c>
      <c r="B11" s="4" t="inlineStr">
        <is>
          <t>P0 failure that blocks ≥3 downstream cases (e.g. login broken) · DB schema drift detected · Worker container in restart loop · ≥3 unrelated 5xx in any 10-minute window.</t>
        </is>
      </c>
    </row>
    <row r="12" ht="40" customHeight="1">
      <c r="A12" s="3" t="inlineStr">
        <is>
          <t>Resumption criteria</t>
        </is>
      </c>
      <c r="B12" s="4" t="inlineStr">
        <is>
          <t>Blocking defect fix verified by retest · Re-baseline smoke regression · Re-confirm seed data.</t>
        </is>
      </c>
    </row>
    <row r="13" ht="40" customHeight="1">
      <c r="A13" s="3" t="inlineStr">
        <is>
          <t>Test data strategy</t>
        </is>
      </c>
      <c r="B13" s="4" t="inlineStr">
        <is>
          <t>Synthetic only — no real PHI ever. Generated via @faker-js/faker + curated fixtures under tests/support/fixtures/. Each E2E run resets to a known seed.</t>
        </is>
      </c>
    </row>
    <row r="14" ht="40" customHeight="1">
      <c r="A14" s="3" t="inlineStr">
        <is>
          <t>Defect lifecycle</t>
        </is>
      </c>
      <c r="B14" s="4" t="inlineStr">
        <is>
          <t>NEW → TRIAGED (priority + owner) → IN_PROGRESS → RESOLVED → VERIFIED → CLOSED. Re-open allowed if regression. SLA: P0 fix &lt;24h, P1 &lt;3d, P2 &lt;7d.</t>
        </is>
      </c>
    </row>
    <row r="15" ht="40" customHeight="1">
      <c r="A15" s="3" t="inlineStr">
        <is>
          <t>Tooling</t>
        </is>
      </c>
      <c r="B15" s="4" t="inlineStr">
        <is>
          <t>Vitest, Playwright, axe-core, k6, OWASP ZAP, Postman/Insomnia for API, Bull Board for queues, Prisma Studio for DB inspection, Datadog/Grafana for metrics, Sentry for runtime errors.</t>
        </is>
      </c>
    </row>
    <row r="16" ht="50" customHeight="1">
      <c r="A16" s="3" t="inlineStr">
        <is>
          <t>Risks &amp; mitigations</t>
        </is>
      </c>
      <c r="B16" s="4" t="inlineStr">
        <is>
          <t>External PSV site downtime → use mocks for unit/integration; document live test cadence. Flaky bot UI scrapes → wrap in retry harness; fail fast vs hang. Slow CI from Playwright → shard across browsers; reuse storage state. Data leakage between tenants → mandatory IDOR test per provider-scoped endpoint.</t>
        </is>
      </c>
    </row>
    <row r="17" ht="40" customHeight="1">
      <c r="A17" s="3" t="inlineStr">
        <is>
          <t>Compliance crosswalk</t>
        </is>
      </c>
      <c r="B17" s="4" t="inlineStr">
        <is>
          <t>NCQA CR 1-7 · HITRUST CSF v11 r2 · SOC 2 Type II Trust Services Criteria · JC NPG 12 · CMS-0057-F (FHIR Provider Directory) · NY OMIG screening cadence · NPDB Continuous Query.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90" customWidth="1" min="3" max="3"/>
  </cols>
  <sheetData>
    <row r="1" ht="36" customHeight="1">
      <c r="A1" s="1" t="inlineStr">
        <is>
          <t>Streamlined Test Execution Pattern</t>
        </is>
      </c>
    </row>
    <row r="3" ht="60" customHeight="1">
      <c r="A3" s="6" t="inlineStr">
        <is>
          <t>1</t>
        </is>
      </c>
      <c r="B3" s="7" t="inlineStr">
        <is>
          <t>Prepare environment</t>
        </is>
      </c>
      <c r="C3" s="4" t="inlineStr">
        <is>
          <t>Bring up dev stack (`docker compose up -d`). Verify smoke (00 — Environment &amp; Smoke). Confirm Prisma client matches schema. Seed test data.</t>
        </is>
      </c>
    </row>
    <row r="4" ht="60" customHeight="1">
      <c r="A4" s="6" t="inlineStr">
        <is>
          <t>2</t>
        </is>
      </c>
      <c r="B4" s="7" t="inlineStr">
        <is>
          <t>Triage by priority</t>
        </is>
      </c>
      <c r="C4" s="4" t="inlineStr">
        <is>
          <t>Run all P0 cases first across every module. Stop and triage on any P0 fail.</t>
        </is>
      </c>
    </row>
    <row r="5" ht="60" customHeight="1">
      <c r="A5" s="6" t="inlineStr">
        <is>
          <t>3</t>
        </is>
      </c>
      <c r="B5" s="7" t="inlineStr">
        <is>
          <t>Module-by-module sweep</t>
        </is>
      </c>
      <c r="C5" s="4" t="inlineStr">
        <is>
          <t>Within priority, work top-to-bottom by module ID (00, 01, 02 ... 23). Within a module, follow the row order — preconditions of later cases often depend on earlier ones.</t>
        </is>
      </c>
    </row>
    <row r="6" ht="60" customHeight="1">
      <c r="A6" s="6" t="inlineStr">
        <is>
          <t>4</t>
        </is>
      </c>
      <c r="B6" s="7" t="inlineStr">
        <is>
          <t>Two-pane execution</t>
        </is>
      </c>
      <c r="C6" s="4" t="inlineStr">
        <is>
          <t>Open this XLSX in one pane; app + DevTools + Bull Board + Prisma Studio in the other. Mark Status (Pass/Fail/Blocked/N/A) immediately. Capture screenshots/logs into Defect Log if Fail.</t>
        </is>
      </c>
    </row>
    <row r="7" ht="60" customHeight="1">
      <c r="A7" s="6" t="inlineStr">
        <is>
          <t>5</t>
        </is>
      </c>
      <c r="B7" s="7" t="inlineStr">
        <is>
          <t>Negative-after-positive</t>
        </is>
      </c>
      <c r="C7" s="4" t="inlineStr">
        <is>
          <t>For every Functional pass, run the matching Negative case to verify rejection. Don't trust 'happy path' alone.</t>
        </is>
      </c>
    </row>
    <row r="8" ht="60" customHeight="1">
      <c r="A8" s="6" t="inlineStr">
        <is>
          <t>6</t>
        </is>
      </c>
      <c r="B8" s="7" t="inlineStr">
        <is>
          <t>Cross-cutting verification</t>
        </is>
      </c>
      <c r="C8" s="4" t="inlineStr">
        <is>
          <t>After functional sweep, run Security (PHI, IDOR, headers), Accessibility (axe), Performance (k6 baseline), and UX consistency passes.</t>
        </is>
      </c>
    </row>
    <row r="9" ht="60" customHeight="1">
      <c r="A9" s="6" t="inlineStr">
        <is>
          <t>7</t>
        </is>
      </c>
      <c r="B9" s="7" t="inlineStr">
        <is>
          <t>Defect handling</t>
        </is>
      </c>
      <c r="C9" s="4" t="inlineStr">
        <is>
          <t>Log every Fail in 'Defect Log' sheet with screenshot/log/repro. Set priority. Notify owner via the project tracker. Link defect ID back to test row.</t>
        </is>
      </c>
    </row>
    <row r="10" ht="60" customHeight="1">
      <c r="A10" s="6" t="inlineStr">
        <is>
          <t>8</t>
        </is>
      </c>
      <c r="B10" s="7" t="inlineStr">
        <is>
          <t>Retest after fix</t>
        </is>
      </c>
      <c r="C10" s="4" t="inlineStr">
        <is>
          <t>On fix delivery, re-run the originally-failed case PLUS the immediately-prior + next case to catch nearby regressions. Update Status, retain Actual + Notes history.</t>
        </is>
      </c>
    </row>
    <row r="11" ht="60" customHeight="1">
      <c r="A11" s="6" t="inlineStr">
        <is>
          <t>9</t>
        </is>
      </c>
      <c r="B11" s="7" t="inlineStr">
        <is>
          <t>Sign-off</t>
        </is>
      </c>
      <c r="C11" s="4" t="inlineStr">
        <is>
          <t>When exit criteria met: run smoke regression 3 times; fill Sign-off sheet; archive XLSX in docs/testing/.</t>
        </is>
      </c>
    </row>
    <row r="12" ht="60" customHeight="1">
      <c r="A12" s="6" t="inlineStr">
        <is>
          <t>10</t>
        </is>
      </c>
      <c r="B12" s="7" t="inlineStr">
        <is>
          <t>Continuous improvement</t>
        </is>
      </c>
      <c r="C12" s="4" t="inlineStr">
        <is>
          <t>Add any newly-found defect class as a permanent test row in next revision. Bump file timestamp; never overwrite history.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</cols>
  <sheetData>
    <row r="1" ht="36" customHeight="1">
      <c r="A1" s="1" t="inlineStr">
        <is>
          <t>Module × Test-Type Coverage Matrix</t>
        </is>
      </c>
    </row>
    <row r="2">
      <c r="A2" s="8" t="inlineStr">
        <is>
          <t>Module</t>
        </is>
      </c>
      <c r="B2" s="8" t="inlineStr">
        <is>
          <t>Functional</t>
        </is>
      </c>
      <c r="C2" s="8" t="inlineStr">
        <is>
          <t>Negative</t>
        </is>
      </c>
      <c r="D2" s="8" t="inlineStr">
        <is>
          <t>Boundary</t>
        </is>
      </c>
      <c r="E2" s="8" t="inlineStr">
        <is>
          <t>Security</t>
        </is>
      </c>
      <c r="F2" s="8" t="inlineStr">
        <is>
          <t>UI</t>
        </is>
      </c>
      <c r="G2" s="8" t="inlineStr">
        <is>
          <t>UX</t>
        </is>
      </c>
      <c r="H2" s="8" t="inlineStr">
        <is>
          <t>A11y</t>
        </is>
      </c>
      <c r="I2" s="8" t="inlineStr">
        <is>
          <t>Performance</t>
        </is>
      </c>
      <c r="J2" s="8" t="inlineStr">
        <is>
          <t>Integration</t>
        </is>
      </c>
      <c r="K2" s="8" t="inlineStr">
        <is>
          <t>API</t>
        </is>
      </c>
      <c r="L2" s="8" t="inlineStr">
        <is>
          <t>Data</t>
        </is>
      </c>
      <c r="M2" s="8" t="inlineStr">
        <is>
          <t>Regression</t>
        </is>
      </c>
      <c r="N2" s="8" t="inlineStr">
        <is>
          <t>Total</t>
        </is>
      </c>
    </row>
    <row r="3">
      <c r="A3" s="3" t="inlineStr">
        <is>
          <t>00 — Environment &amp; Smoke</t>
        </is>
      </c>
      <c r="B3" s="9" t="n">
        <v>4</v>
      </c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9" t="n">
        <v>4</v>
      </c>
      <c r="L3" s="10" t="inlineStr"/>
      <c r="M3" s="10" t="inlineStr"/>
      <c r="N3" s="11" t="n">
        <v>8</v>
      </c>
    </row>
    <row r="4">
      <c r="A4" s="3" t="inlineStr">
        <is>
          <t>01 — Authentication &amp; Access</t>
        </is>
      </c>
      <c r="B4" s="9" t="n">
        <v>3</v>
      </c>
      <c r="C4" s="9" t="n">
        <v>1</v>
      </c>
      <c r="D4" s="10" t="inlineStr"/>
      <c r="E4" s="9" t="n">
        <v>9</v>
      </c>
      <c r="F4" s="9" t="n">
        <v>1</v>
      </c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1" t="n">
        <v>14</v>
      </c>
    </row>
    <row r="5">
      <c r="A5" s="3" t="inlineStr">
        <is>
          <t>02 — Provider Onboarding (portal)</t>
        </is>
      </c>
      <c r="B5" s="9" t="n">
        <v>7</v>
      </c>
      <c r="C5" s="9" t="n">
        <v>2</v>
      </c>
      <c r="D5" s="9" t="n">
        <v>1</v>
      </c>
      <c r="E5" s="9" t="n">
        <v>2</v>
      </c>
      <c r="F5" s="9" t="n">
        <v>1</v>
      </c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1" t="n">
        <v>13</v>
      </c>
    </row>
    <row r="6">
      <c r="A6" s="3" t="inlineStr">
        <is>
          <t>03 — Staff Dashboard</t>
        </is>
      </c>
      <c r="B6" s="9" t="n">
        <v>5</v>
      </c>
      <c r="C6" s="10" t="inlineStr"/>
      <c r="D6" s="10" t="inlineStr"/>
      <c r="E6" s="10" t="inlineStr"/>
      <c r="F6" s="9" t="n">
        <v>1</v>
      </c>
      <c r="G6" s="10" t="inlineStr"/>
      <c r="H6" s="10" t="inlineStr"/>
      <c r="I6" s="10" t="inlineStr"/>
      <c r="J6" s="9" t="n">
        <v>1</v>
      </c>
      <c r="K6" s="10" t="inlineStr"/>
      <c r="L6" s="9" t="n">
        <v>1</v>
      </c>
      <c r="M6" s="10" t="inlineStr"/>
      <c r="N6" s="11" t="n">
        <v>8</v>
      </c>
    </row>
    <row r="7">
      <c r="A7" s="3" t="inlineStr">
        <is>
          <t>04 — Provider Detail View</t>
        </is>
      </c>
      <c r="B7" s="9" t="n">
        <v>9</v>
      </c>
      <c r="C7" s="9" t="n">
        <v>1</v>
      </c>
      <c r="D7" s="10" t="inlineStr"/>
      <c r="E7" s="10" t="inlineStr"/>
      <c r="F7" s="9" t="n">
        <v>2</v>
      </c>
      <c r="G7" s="9" t="n">
        <v>1</v>
      </c>
      <c r="H7" s="10" t="inlineStr"/>
      <c r="I7" s="9" t="n">
        <v>1</v>
      </c>
      <c r="J7" s="9" t="n">
        <v>1</v>
      </c>
      <c r="K7" s="10" t="inlineStr"/>
      <c r="L7" s="9" t="n">
        <v>1</v>
      </c>
      <c r="M7" s="10" t="inlineStr"/>
      <c r="N7" s="11" t="n">
        <v>16</v>
      </c>
    </row>
    <row r="8">
      <c r="A8" s="3" t="inlineStr">
        <is>
          <t>05 — PSV Bots &amp; Verifications</t>
        </is>
      </c>
      <c r="B8" s="9" t="n">
        <v>19</v>
      </c>
      <c r="C8" s="9" t="n">
        <v>1</v>
      </c>
      <c r="D8" s="10" t="inlineStr"/>
      <c r="E8" s="9" t="n">
        <v>1</v>
      </c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1" t="n">
        <v>21</v>
      </c>
    </row>
    <row r="9">
      <c r="A9" s="3" t="inlineStr">
        <is>
          <t>06 — Continuous Monitoring</t>
        </is>
      </c>
      <c r="B9" s="9" t="n">
        <v>7</v>
      </c>
      <c r="C9" s="10" t="inlineStr"/>
      <c r="D9" s="10" t="inlineStr"/>
      <c r="E9" s="9" t="n">
        <v>1</v>
      </c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1" t="n">
        <v>8</v>
      </c>
    </row>
    <row r="10">
      <c r="A10" s="3" t="inlineStr">
        <is>
          <t>07 — Committee</t>
        </is>
      </c>
      <c r="B10" s="9" t="n">
        <v>5</v>
      </c>
      <c r="C10" s="9" t="n">
        <v>1</v>
      </c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1" t="n">
        <v>6</v>
      </c>
    </row>
    <row r="11">
      <c r="A11" s="3" t="inlineStr">
        <is>
          <t>08 — Enrollments &amp; Payers</t>
        </is>
      </c>
      <c r="B11" s="9" t="n">
        <v>4</v>
      </c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9" t="n">
        <v>2</v>
      </c>
      <c r="K11" s="10" t="inlineStr"/>
      <c r="L11" s="10" t="inlineStr"/>
      <c r="M11" s="10" t="inlineStr"/>
      <c r="N11" s="11" t="n">
        <v>6</v>
      </c>
    </row>
    <row r="12">
      <c r="A12" s="3" t="inlineStr">
        <is>
          <t>09 — Expirables &amp; Recredentialing</t>
        </is>
      </c>
      <c r="B12" s="9" t="n">
        <v>5</v>
      </c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1" t="n">
        <v>5</v>
      </c>
    </row>
    <row r="13">
      <c r="A13" s="3" t="inlineStr">
        <is>
          <t>10 — Telehealth</t>
        </is>
      </c>
      <c r="B13" s="9" t="n">
        <v>2</v>
      </c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9" t="n">
        <v>1</v>
      </c>
      <c r="M13" s="10" t="inlineStr"/>
      <c r="N13" s="11" t="n">
        <v>3</v>
      </c>
    </row>
    <row r="14">
      <c r="A14" s="3" t="inlineStr">
        <is>
          <t>11 — Compliance Readiness</t>
        </is>
      </c>
      <c r="B14" s="9" t="n">
        <v>3</v>
      </c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1" t="n">
        <v>3</v>
      </c>
    </row>
    <row r="15">
      <c r="A15" s="3" t="inlineStr">
        <is>
          <t>12 — AI Governance</t>
        </is>
      </c>
      <c r="B15" s="9" t="n">
        <v>1</v>
      </c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9" t="n">
        <v>1</v>
      </c>
      <c r="M15" s="10" t="inlineStr"/>
      <c r="N15" s="11" t="n">
        <v>2</v>
      </c>
    </row>
    <row r="16">
      <c r="A16" s="3" t="inlineStr">
        <is>
          <t>13 — Public REST API &amp; FHIR</t>
        </is>
      </c>
      <c r="B16" s="10" t="inlineStr"/>
      <c r="C16" s="10" t="inlineStr"/>
      <c r="D16" s="10" t="inlineStr"/>
      <c r="E16" s="9" t="n">
        <v>2</v>
      </c>
      <c r="F16" s="10" t="inlineStr"/>
      <c r="G16" s="10" t="inlineStr"/>
      <c r="H16" s="10" t="inlineStr"/>
      <c r="I16" s="9" t="n">
        <v>1</v>
      </c>
      <c r="J16" s="10" t="inlineStr"/>
      <c r="K16" s="9" t="n">
        <v>5</v>
      </c>
      <c r="L16" s="10" t="inlineStr"/>
      <c r="M16" s="10" t="inlineStr"/>
      <c r="N16" s="11" t="n">
        <v>8</v>
      </c>
    </row>
    <row r="17">
      <c r="A17" s="3" t="inlineStr">
        <is>
          <t>14 — Admin</t>
        </is>
      </c>
      <c r="B17" s="9" t="n">
        <v>8</v>
      </c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1" t="n">
        <v>8</v>
      </c>
    </row>
    <row r="18">
      <c r="A18" s="3" t="inlineStr">
        <is>
          <t>15 — Reports &amp; Analytics</t>
        </is>
      </c>
      <c r="B18" s="9" t="n">
        <v>4</v>
      </c>
      <c r="C18" s="10" t="inlineStr"/>
      <c r="D18" s="10" t="inlineStr"/>
      <c r="E18" s="10" t="inlineStr"/>
      <c r="F18" s="10" t="inlineStr"/>
      <c r="G18" s="10" t="inlineStr"/>
      <c r="H18" s="10" t="inlineStr"/>
      <c r="I18" s="9" t="n">
        <v>1</v>
      </c>
      <c r="J18" s="10" t="inlineStr"/>
      <c r="K18" s="10" t="inlineStr"/>
      <c r="L18" s="10" t="inlineStr"/>
      <c r="M18" s="10" t="inlineStr"/>
      <c r="N18" s="11" t="n">
        <v>5</v>
      </c>
    </row>
    <row r="19">
      <c r="A19" s="3" t="inlineStr">
        <is>
          <t>16 — Communications</t>
        </is>
      </c>
      <c r="B19" s="10" t="inlineStr"/>
      <c r="C19" s="10" t="inlineStr"/>
      <c r="D19" s="10" t="inlineStr"/>
      <c r="E19" s="10" t="inlineStr"/>
      <c r="F19" s="9" t="n">
        <v>1</v>
      </c>
      <c r="G19" s="10" t="inlineStr"/>
      <c r="H19" s="10" t="inlineStr"/>
      <c r="I19" s="10" t="inlineStr"/>
      <c r="J19" s="9" t="n">
        <v>3</v>
      </c>
      <c r="K19" s="10" t="inlineStr"/>
      <c r="L19" s="10" t="inlineStr"/>
      <c r="M19" s="10" t="inlineStr"/>
      <c r="N19" s="11" t="n">
        <v>4</v>
      </c>
    </row>
    <row r="20">
      <c r="A20" s="3" t="inlineStr">
        <is>
          <t>17 — Audit &amp; Tamper Evidence</t>
        </is>
      </c>
      <c r="B20" s="9" t="n">
        <v>1</v>
      </c>
      <c r="C20" s="10" t="inlineStr"/>
      <c r="D20" s="10" t="inlineStr"/>
      <c r="E20" s="9" t="n">
        <v>1</v>
      </c>
      <c r="F20" s="10" t="inlineStr"/>
      <c r="G20" s="10" t="inlineStr"/>
      <c r="H20" s="10" t="inlineStr"/>
      <c r="I20" s="10" t="inlineStr"/>
      <c r="J20" s="10" t="inlineStr"/>
      <c r="K20" s="10" t="inlineStr"/>
      <c r="L20" s="9" t="n">
        <v>1</v>
      </c>
      <c r="M20" s="10" t="inlineStr"/>
      <c r="N20" s="11" t="n">
        <v>3</v>
      </c>
    </row>
    <row r="21">
      <c r="A21" s="3" t="inlineStr">
        <is>
          <t>18 — Data Integrity &amp; Encryption</t>
        </is>
      </c>
      <c r="B21" s="9" t="n">
        <v>1</v>
      </c>
      <c r="C21" s="10" t="inlineStr"/>
      <c r="D21" s="10" t="inlineStr"/>
      <c r="E21" s="9" t="n">
        <v>2</v>
      </c>
      <c r="F21" s="10" t="inlineStr"/>
      <c r="G21" s="10" t="inlineStr"/>
      <c r="H21" s="10" t="inlineStr"/>
      <c r="I21" s="10" t="inlineStr"/>
      <c r="J21" s="10" t="inlineStr"/>
      <c r="K21" s="10" t="inlineStr"/>
      <c r="L21" s="9" t="n">
        <v>2</v>
      </c>
      <c r="M21" s="10" t="inlineStr"/>
      <c r="N21" s="11" t="n">
        <v>5</v>
      </c>
    </row>
    <row r="22">
      <c r="A22" s="3" t="inlineStr">
        <is>
          <t>19 — Performance &amp; Load</t>
        </is>
      </c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9" t="n">
        <v>4</v>
      </c>
      <c r="J22" s="10" t="inlineStr"/>
      <c r="K22" s="10" t="inlineStr"/>
      <c r="L22" s="10" t="inlineStr"/>
      <c r="M22" s="10" t="inlineStr"/>
      <c r="N22" s="11" t="n">
        <v>4</v>
      </c>
    </row>
    <row r="23">
      <c r="A23" s="3" t="inlineStr">
        <is>
          <t>20 — Accessibility &amp; UX</t>
        </is>
      </c>
      <c r="B23" s="10" t="inlineStr"/>
      <c r="C23" s="10" t="inlineStr"/>
      <c r="D23" s="10" t="inlineStr"/>
      <c r="E23" s="10" t="inlineStr"/>
      <c r="F23" s="10" t="inlineStr"/>
      <c r="G23" s="9" t="n">
        <v>8</v>
      </c>
      <c r="H23" s="9" t="n">
        <v>5</v>
      </c>
      <c r="I23" s="10" t="inlineStr"/>
      <c r="J23" s="10" t="inlineStr"/>
      <c r="K23" s="10" t="inlineStr"/>
      <c r="L23" s="10" t="inlineStr"/>
      <c r="M23" s="10" t="inlineStr"/>
      <c r="N23" s="11" t="n">
        <v>13</v>
      </c>
    </row>
    <row r="24">
      <c r="A24" s="3" t="inlineStr">
        <is>
          <t>21 — Browser &amp; Device Compatibility</t>
        </is>
      </c>
      <c r="B24" s="10" t="inlineStr"/>
      <c r="C24" s="10" t="inlineStr"/>
      <c r="D24" s="10" t="inlineStr"/>
      <c r="E24" s="10" t="inlineStr"/>
      <c r="F24" s="9" t="n">
        <v>5</v>
      </c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1" t="n">
        <v>5</v>
      </c>
    </row>
    <row r="25">
      <c r="A25" s="3" t="inlineStr">
        <is>
          <t>22 — Observability</t>
        </is>
      </c>
      <c r="B25" s="9" t="n">
        <v>3</v>
      </c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1" t="n">
        <v>3</v>
      </c>
    </row>
    <row r="26">
      <c r="A26" s="3" t="inlineStr">
        <is>
          <t>23 — Regression Smoke (must always pass)</t>
        </is>
      </c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  <c r="M26" s="9" t="n">
        <v>3</v>
      </c>
      <c r="N26" s="11" t="n">
        <v>3</v>
      </c>
    </row>
    <row r="27">
      <c r="A27" s="12" t="inlineStr">
        <is>
          <t>GRAND TOTAL</t>
        </is>
      </c>
      <c r="B27" s="13" t="n">
        <v>91</v>
      </c>
      <c r="C27" s="13" t="n">
        <v>6</v>
      </c>
      <c r="D27" s="13" t="n">
        <v>1</v>
      </c>
      <c r="E27" s="13" t="n">
        <v>18</v>
      </c>
      <c r="F27" s="13" t="n">
        <v>11</v>
      </c>
      <c r="G27" s="13" t="n">
        <v>9</v>
      </c>
      <c r="H27" s="13" t="n">
        <v>5</v>
      </c>
      <c r="I27" s="13" t="n">
        <v>7</v>
      </c>
      <c r="J27" s="13" t="n">
        <v>7</v>
      </c>
      <c r="K27" s="13" t="n">
        <v>9</v>
      </c>
      <c r="L27" s="13" t="n">
        <v>7</v>
      </c>
      <c r="M27" s="13" t="n">
        <v>3</v>
      </c>
      <c r="N27" s="14" t="n">
        <v>174</v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3" customWidth="1" min="4" max="4"/>
    <col width="8" customWidth="1" min="5" max="5"/>
    <col width="12" customWidth="1" min="6" max="6"/>
    <col width="50" customWidth="1" min="7" max="7"/>
    <col width="36" customWidth="1" min="8" max="8"/>
    <col width="50" customWidth="1" min="9" max="9"/>
    <col width="28" customWidth="1" min="10" max="10"/>
    <col width="50" customWidth="1" min="11" max="11"/>
    <col width="50" customWidth="1" min="12" max="12"/>
    <col width="30" customWidth="1" min="13" max="13"/>
    <col width="11" customWidth="1" min="14" max="14"/>
    <col width="12" customWidth="1" min="15" max="15"/>
    <col width="14" customWidth="1" min="16" max="16"/>
    <col width="12" customWidth="1" min="17" max="17"/>
    <col width="30" customWidth="1" min="18" max="18"/>
  </cols>
  <sheetData>
    <row r="1" ht="36" customHeight="1">
      <c r="A1" s="1" t="inlineStr">
        <is>
          <t>Master Test Plan — Checklist</t>
        </is>
      </c>
    </row>
    <row r="2" ht="32" customHeight="1">
      <c r="A2" s="8" t="inlineStr">
        <is>
          <t>Test ID</t>
        </is>
      </c>
      <c r="B2" s="8" t="inlineStr">
        <is>
          <t>Module</t>
        </is>
      </c>
      <c r="C2" s="8" t="inlineStr">
        <is>
          <t>Submodule / Feature</t>
        </is>
      </c>
      <c r="D2" s="8" t="inlineStr">
        <is>
          <t>Test Type</t>
        </is>
      </c>
      <c r="E2" s="8" t="inlineStr">
        <is>
          <t>Priority</t>
        </is>
      </c>
      <c r="F2" s="8" t="inlineStr">
        <is>
          <t>Role</t>
        </is>
      </c>
      <c r="G2" s="8" t="inlineStr">
        <is>
          <t>Test Case Title</t>
        </is>
      </c>
      <c r="H2" s="8" t="inlineStr">
        <is>
          <t>Pre-conditions</t>
        </is>
      </c>
      <c r="I2" s="8" t="inlineStr">
        <is>
          <t>Test Steps</t>
        </is>
      </c>
      <c r="J2" s="8" t="inlineStr">
        <is>
          <t>Input Fields / Data</t>
        </is>
      </c>
      <c r="K2" s="8" t="inlineStr">
        <is>
          <t>Expected Outcome</t>
        </is>
      </c>
      <c r="L2" s="8" t="inlineStr">
        <is>
          <t>Why this matters</t>
        </is>
      </c>
      <c r="M2" s="8" t="inlineStr">
        <is>
          <t>Actual Result</t>
        </is>
      </c>
      <c r="N2" s="8" t="inlineStr">
        <is>
          <t>Status</t>
        </is>
      </c>
      <c r="O2" s="8" t="inlineStr">
        <is>
          <t>Defect ID</t>
        </is>
      </c>
      <c r="P2" s="8" t="inlineStr">
        <is>
          <t>Tester</t>
        </is>
      </c>
      <c r="Q2" s="8" t="inlineStr">
        <is>
          <t>Test Date</t>
        </is>
      </c>
      <c r="R2" s="8" t="inlineStr">
        <is>
          <t>Notes</t>
        </is>
      </c>
    </row>
    <row r="3" ht="45" customHeight="1">
      <c r="A3" s="15" t="inlineStr">
        <is>
          <t>TC-0001</t>
        </is>
      </c>
      <c r="B3" s="15" t="inlineStr">
        <is>
          <t>00 — Environment &amp; Smoke</t>
        </is>
      </c>
      <c r="C3" s="15" t="inlineStr">
        <is>
          <t>Containers</t>
        </is>
      </c>
      <c r="D3" s="16" t="inlineStr">
        <is>
          <t>Functional</t>
        </is>
      </c>
      <c r="E3" s="17" t="inlineStr">
        <is>
          <t>P0</t>
        </is>
      </c>
      <c r="F3" s="15" t="inlineStr">
        <is>
          <t>DevOps</t>
        </is>
      </c>
      <c r="G3" s="15" t="inlineStr">
        <is>
          <t>Web container starts and reports Ready</t>
        </is>
      </c>
      <c r="H3" s="15" t="inlineStr">
        <is>
          <t>Docker Desktop running. Shared localai-postgres-1 + redis containers up.</t>
        </is>
      </c>
      <c r="I3" s="15" t="inlineStr">
        <is>
          <t>1. Run `docker compose -f docker-compose.dev.yml up -d`
2. Wait 60s
3. Run `docker logs ecred-web --tail 20`</t>
        </is>
      </c>
      <c r="J3" s="15" t="inlineStr">
        <is>
          <t>(none)</t>
        </is>
      </c>
      <c r="K3" s="15" t="inlineStr">
        <is>
          <t>Logs show 'Ready in &lt;Xs&gt;' from Next.js. Port 6015 accessible.</t>
        </is>
      </c>
      <c r="L3" s="15" t="inlineStr">
        <is>
          <t>If Next.js cannot start, no other test can run. Confirms images, env, network are all wired.</t>
        </is>
      </c>
      <c r="M3" s="15" t="inlineStr"/>
      <c r="N3" s="4" t="inlineStr"/>
      <c r="O3" s="15" t="inlineStr"/>
      <c r="P3" s="15" t="inlineStr"/>
      <c r="Q3" s="15" t="inlineStr"/>
      <c r="R3" s="15" t="inlineStr"/>
    </row>
    <row r="4" ht="45" customHeight="1">
      <c r="A4" s="4" t="inlineStr">
        <is>
          <t>TC-0002</t>
        </is>
      </c>
      <c r="B4" s="4" t="inlineStr">
        <is>
          <t>00 — Environment &amp; Smoke</t>
        </is>
      </c>
      <c r="C4" s="4" t="inlineStr">
        <is>
          <t>Containers</t>
        </is>
      </c>
      <c r="D4" s="16" t="inlineStr">
        <is>
          <t>Functional</t>
        </is>
      </c>
      <c r="E4" s="17" t="inlineStr">
        <is>
          <t>P0</t>
        </is>
      </c>
      <c r="F4" s="4" t="inlineStr">
        <is>
          <t>DevOps</t>
        </is>
      </c>
      <c r="G4" s="4" t="inlineStr">
        <is>
          <t>Worker container starts and reports Bull Board ready</t>
        </is>
      </c>
      <c r="H4" s="4" t="inlineStr">
        <is>
          <t>Web container up. Redis reachable.</t>
        </is>
      </c>
      <c r="I4" s="4" t="inlineStr">
        <is>
          <t>1. `docker logs ecred-worker --tail 20`
2. Open http://localhost:6025</t>
        </is>
      </c>
      <c r="J4" s="4" t="inlineStr">
        <is>
          <t>(none)</t>
        </is>
      </c>
      <c r="K4" s="4" t="inlineStr">
        <is>
          <t>Bull Board UI loads showing all queues with 0 jobs.</t>
        </is>
      </c>
      <c r="L4" s="4" t="inlineStr">
        <is>
          <t>Workers run all PSV bots, monitoring sweeps, ack pollers — failure means scheduled jobs silently die.</t>
        </is>
      </c>
      <c r="M4" s="4" t="inlineStr"/>
      <c r="N4" s="4" t="inlineStr"/>
      <c r="O4" s="4" t="inlineStr"/>
      <c r="P4" s="4" t="inlineStr"/>
      <c r="Q4" s="4" t="inlineStr"/>
      <c r="R4" s="4" t="inlineStr"/>
    </row>
    <row r="5" ht="45" customHeight="1">
      <c r="A5" s="15" t="inlineStr">
        <is>
          <t>TC-0003</t>
        </is>
      </c>
      <c r="B5" s="15" t="inlineStr">
        <is>
          <t>00 — Environment &amp; Smoke</t>
        </is>
      </c>
      <c r="C5" s="15" t="inlineStr">
        <is>
          <t>Database</t>
        </is>
      </c>
      <c r="D5" s="16" t="inlineStr">
        <is>
          <t>Functional</t>
        </is>
      </c>
      <c r="E5" s="17" t="inlineStr">
        <is>
          <t>P0</t>
        </is>
      </c>
      <c r="F5" s="15" t="inlineStr">
        <is>
          <t>DevOps</t>
        </is>
      </c>
      <c r="G5" s="15" t="inlineStr">
        <is>
          <t>Prisma client matches schema in container</t>
        </is>
      </c>
      <c r="H5" s="15" t="inlineStr">
        <is>
          <t>Web container running.</t>
        </is>
      </c>
      <c r="I5" s="15" t="inlineStr">
        <is>
          <t>1. `docker exec ecred-web grep -c monitoringAlert node_modules/.prisma/client/index.d.ts`</t>
        </is>
      </c>
      <c r="J5" s="15" t="inlineStr">
        <is>
          <t>(none)</t>
        </is>
      </c>
      <c r="K5" s="15" t="inlineStr">
        <is>
          <t>Returns &gt;100 occurrences. Prisma client knows every model.</t>
        </is>
      </c>
      <c r="L5" s="15" t="inlineStr">
        <is>
          <t>Stale Prisma client causes silent runtime crashes (e.g. db.monitoringAlert is undefined).</t>
        </is>
      </c>
      <c r="M5" s="15" t="inlineStr"/>
      <c r="N5" s="4" t="inlineStr"/>
      <c r="O5" s="15" t="inlineStr"/>
      <c r="P5" s="15" t="inlineStr"/>
      <c r="Q5" s="15" t="inlineStr"/>
      <c r="R5" s="15" t="inlineStr"/>
    </row>
    <row r="6" ht="45" customHeight="1">
      <c r="A6" s="4" t="inlineStr">
        <is>
          <t>TC-0004</t>
        </is>
      </c>
      <c r="B6" s="4" t="inlineStr">
        <is>
          <t>00 — Environment &amp; Smoke</t>
        </is>
      </c>
      <c r="C6" s="4" t="inlineStr">
        <is>
          <t>Database</t>
        </is>
      </c>
      <c r="D6" s="16" t="inlineStr">
        <is>
          <t>Functional</t>
        </is>
      </c>
      <c r="E6" s="17" t="inlineStr">
        <is>
          <t>P0</t>
        </is>
      </c>
      <c r="F6" s="4" t="inlineStr">
        <is>
          <t>DevOps</t>
        </is>
      </c>
      <c r="G6" s="4" t="inlineStr">
        <is>
          <t>All migrations applied</t>
        </is>
      </c>
      <c r="H6" s="4" t="inlineStr">
        <is>
          <t>DB created, web container running.</t>
        </is>
      </c>
      <c r="I6" s="4" t="inlineStr">
        <is>
          <t>1. `docker exec ecred-web npx prisma migrate status`</t>
        </is>
      </c>
      <c r="J6" s="4" t="inlineStr">
        <is>
          <t>(none)</t>
        </is>
      </c>
      <c r="K6" s="4" t="inlineStr">
        <is>
          <t>All migrations show 'Applied'. No pending migrations.</t>
        </is>
      </c>
      <c r="L6" s="4" t="inlineStr">
        <is>
          <t>Pending migrations indicate code references columns/tables that don't exist.</t>
        </is>
      </c>
      <c r="M6" s="4" t="inlineStr"/>
      <c r="N6" s="4" t="inlineStr"/>
      <c r="O6" s="4" t="inlineStr"/>
      <c r="P6" s="4" t="inlineStr"/>
      <c r="Q6" s="4" t="inlineStr"/>
      <c r="R6" s="4" t="inlineStr"/>
    </row>
    <row r="7" ht="45" customHeight="1">
      <c r="A7" s="15" t="inlineStr">
        <is>
          <t>TC-0005</t>
        </is>
      </c>
      <c r="B7" s="15" t="inlineStr">
        <is>
          <t>00 — Environment &amp; Smoke</t>
        </is>
      </c>
      <c r="C7" s="15" t="inlineStr">
        <is>
          <t>Health endpoints</t>
        </is>
      </c>
      <c r="D7" s="18" t="inlineStr">
        <is>
          <t>API</t>
        </is>
      </c>
      <c r="E7" s="17" t="inlineStr">
        <is>
          <t>P0</t>
        </is>
      </c>
      <c r="F7" s="15" t="inlineStr">
        <is>
          <t>DevOps</t>
        </is>
      </c>
      <c r="G7" s="15" t="inlineStr">
        <is>
          <t>GET /api/health returns 200</t>
        </is>
      </c>
      <c r="H7" s="15" t="inlineStr">
        <is>
          <t>Web container up.</t>
        </is>
      </c>
      <c r="I7" s="15" t="inlineStr">
        <is>
          <t>1. `curl -i http://localhost:6015/api/health`</t>
        </is>
      </c>
      <c r="J7" s="15" t="inlineStr">
        <is>
          <t>(none)</t>
        </is>
      </c>
      <c r="K7" s="15" t="inlineStr">
        <is>
          <t>200 OK with JSON body containing status='ok'.</t>
        </is>
      </c>
      <c r="L7" s="15" t="inlineStr">
        <is>
          <t>Used by load balancers / monitoring; must always respond fast and correctly.</t>
        </is>
      </c>
      <c r="M7" s="15" t="inlineStr"/>
      <c r="N7" s="4" t="inlineStr"/>
      <c r="O7" s="15" t="inlineStr"/>
      <c r="P7" s="15" t="inlineStr"/>
      <c r="Q7" s="15" t="inlineStr"/>
      <c r="R7" s="15" t="inlineStr"/>
    </row>
    <row r="8" ht="45" customHeight="1">
      <c r="A8" s="4" t="inlineStr">
        <is>
          <t>TC-0006</t>
        </is>
      </c>
      <c r="B8" s="4" t="inlineStr">
        <is>
          <t>00 — Environment &amp; Smoke</t>
        </is>
      </c>
      <c r="C8" s="4" t="inlineStr">
        <is>
          <t>Health endpoints</t>
        </is>
      </c>
      <c r="D8" s="18" t="inlineStr">
        <is>
          <t>API</t>
        </is>
      </c>
      <c r="E8" s="17" t="inlineStr">
        <is>
          <t>P0</t>
        </is>
      </c>
      <c r="F8" s="4" t="inlineStr">
        <is>
          <t>DevOps</t>
        </is>
      </c>
      <c r="G8" s="4" t="inlineStr">
        <is>
          <t>GET /api/ready returns 200 only when DB+Redis healthy</t>
        </is>
      </c>
      <c r="H8" s="4" t="inlineStr">
        <is>
          <t>Web container up.</t>
        </is>
      </c>
      <c r="I8" s="4" t="inlineStr">
        <is>
          <t>1. `curl -i http://localhost:6015/api/ready`
2. Stop redis
3. Curl again</t>
        </is>
      </c>
      <c r="J8" s="4" t="inlineStr">
        <is>
          <t>(none)</t>
        </is>
      </c>
      <c r="K8" s="4" t="inlineStr">
        <is>
          <t>First call 200; after redis stop, returns 503 with diagnostic body.</t>
        </is>
      </c>
      <c r="L8" s="4" t="inlineStr">
        <is>
          <t>Readiness must reflect dependency health, otherwise traffic gets routed to broken pods.</t>
        </is>
      </c>
      <c r="M8" s="4" t="inlineStr"/>
      <c r="N8" s="4" t="inlineStr"/>
      <c r="O8" s="4" t="inlineStr"/>
      <c r="P8" s="4" t="inlineStr"/>
      <c r="Q8" s="4" t="inlineStr"/>
      <c r="R8" s="4" t="inlineStr"/>
    </row>
    <row r="9" ht="45" customHeight="1">
      <c r="A9" s="15" t="inlineStr">
        <is>
          <t>TC-0007</t>
        </is>
      </c>
      <c r="B9" s="15" t="inlineStr">
        <is>
          <t>00 — Environment &amp; Smoke</t>
        </is>
      </c>
      <c r="C9" s="15" t="inlineStr">
        <is>
          <t>Health endpoints</t>
        </is>
      </c>
      <c r="D9" s="18" t="inlineStr">
        <is>
          <t>API</t>
        </is>
      </c>
      <c r="E9" s="17" t="inlineStr">
        <is>
          <t>P0</t>
        </is>
      </c>
      <c r="F9" s="15" t="inlineStr">
        <is>
          <t>DevOps</t>
        </is>
      </c>
      <c r="G9" s="15" t="inlineStr">
        <is>
          <t>GET /api/live returns 200 unconditionally</t>
        </is>
      </c>
      <c r="H9" s="15" t="inlineStr">
        <is>
          <t>Web container up.</t>
        </is>
      </c>
      <c r="I9" s="15" t="inlineStr">
        <is>
          <t>1. `curl -i http://localhost:6015/api/live`</t>
        </is>
      </c>
      <c r="J9" s="15" t="inlineStr">
        <is>
          <t>(none)</t>
        </is>
      </c>
      <c r="K9" s="15" t="inlineStr">
        <is>
          <t>200 OK — process is alive even if dependencies degrade.</t>
        </is>
      </c>
      <c r="L9" s="15" t="inlineStr">
        <is>
          <t>Liveness vs readiness distinction prevents needless restart loops.</t>
        </is>
      </c>
      <c r="M9" s="15" t="inlineStr"/>
      <c r="N9" s="4" t="inlineStr"/>
      <c r="O9" s="15" t="inlineStr"/>
      <c r="P9" s="15" t="inlineStr"/>
      <c r="Q9" s="15" t="inlineStr"/>
      <c r="R9" s="15" t="inlineStr"/>
    </row>
    <row r="10" ht="45" customHeight="1">
      <c r="A10" s="4" t="inlineStr">
        <is>
          <t>TC-0008</t>
        </is>
      </c>
      <c r="B10" s="4" t="inlineStr">
        <is>
          <t>00 — Environment &amp; Smoke</t>
        </is>
      </c>
      <c r="C10" s="4" t="inlineStr">
        <is>
          <t>Health endpoints</t>
        </is>
      </c>
      <c r="D10" s="18" t="inlineStr">
        <is>
          <t>API</t>
        </is>
      </c>
      <c r="E10" s="19" t="inlineStr">
        <is>
          <t>P2</t>
        </is>
      </c>
      <c r="F10" s="4" t="inlineStr">
        <is>
          <t>DevOps</t>
        </is>
      </c>
      <c r="G10" s="4" t="inlineStr">
        <is>
          <t>GET /api/metrics returns Prometheus text format</t>
        </is>
      </c>
      <c r="H10" s="4" t="inlineStr">
        <is>
          <t>Web container up.</t>
        </is>
      </c>
      <c r="I10" s="4" t="inlineStr">
        <is>
          <t>1. `curl http://localhost:6015/api/metrics`</t>
        </is>
      </c>
      <c r="J10" s="4" t="inlineStr">
        <is>
          <t>(none)</t>
        </is>
      </c>
      <c r="K10" s="4" t="inlineStr">
        <is>
          <t>Plain text response with HELP/TYPE annotations and counter/gauge metrics.</t>
        </is>
      </c>
      <c r="L10" s="4" t="inlineStr">
        <is>
          <t>Observability foundation for alerting on queue depth, error rate, etc.</t>
        </is>
      </c>
      <c r="M10" s="4" t="inlineStr"/>
      <c r="N10" s="4" t="inlineStr"/>
      <c r="O10" s="4" t="inlineStr"/>
      <c r="P10" s="4" t="inlineStr"/>
      <c r="Q10" s="4" t="inlineStr"/>
      <c r="R10" s="4" t="inlineStr"/>
    </row>
    <row r="11" ht="45" customHeight="1">
      <c r="A11" s="15" t="inlineStr">
        <is>
          <t>TC-0009</t>
        </is>
      </c>
      <c r="B11" s="15" t="inlineStr">
        <is>
          <t>01 — Authentication &amp; Access</t>
        </is>
      </c>
      <c r="C11" s="15" t="inlineStr">
        <is>
          <t>Sign-in page</t>
        </is>
      </c>
      <c r="D11" s="20" t="inlineStr">
        <is>
          <t>UI</t>
        </is>
      </c>
      <c r="E11" s="17" t="inlineStr">
        <is>
          <t>P0</t>
        </is>
      </c>
      <c r="F11" s="15" t="inlineStr">
        <is>
          <t>Anonymous</t>
        </is>
      </c>
      <c r="G11" s="15" t="inlineStr">
        <is>
          <t>Sign-in page renders without errors</t>
        </is>
      </c>
      <c r="H11" s="15" t="inlineStr">
        <is>
          <t>User logged out.</t>
        </is>
      </c>
      <c r="I11" s="15" t="inlineStr">
        <is>
          <t>1. Visit /auth/signin in incognito</t>
        </is>
      </c>
      <c r="J11" s="15" t="inlineStr">
        <is>
          <t>(none)</t>
        </is>
      </c>
      <c r="K11" s="15" t="inlineStr">
        <is>
          <t>Page loads with provider buttons (Microsoft + Credentials). No console errors.</t>
        </is>
      </c>
      <c r="L11" s="15" t="inlineStr">
        <is>
          <t>First impression for every user; broken sign-in is total app outage.</t>
        </is>
      </c>
      <c r="M11" s="15" t="inlineStr"/>
      <c r="N11" s="4" t="inlineStr"/>
      <c r="O11" s="15" t="inlineStr"/>
      <c r="P11" s="15" t="inlineStr"/>
      <c r="Q11" s="15" t="inlineStr"/>
      <c r="R11" s="15" t="inlineStr"/>
    </row>
    <row r="12" ht="45" customHeight="1">
      <c r="A12" s="4" t="inlineStr">
        <is>
          <t>TC-0010</t>
        </is>
      </c>
      <c r="B12" s="4" t="inlineStr">
        <is>
          <t>01 — Authentication &amp; Access</t>
        </is>
      </c>
      <c r="C12" s="4" t="inlineStr">
        <is>
          <t>Microsoft SSO</t>
        </is>
      </c>
      <c r="D12" s="16" t="inlineStr">
        <is>
          <t>Functional</t>
        </is>
      </c>
      <c r="E12" s="17" t="inlineStr">
        <is>
          <t>P0</t>
        </is>
      </c>
      <c r="F12" s="4" t="inlineStr">
        <is>
          <t>Specialist</t>
        </is>
      </c>
      <c r="G12" s="4" t="inlineStr">
        <is>
          <t>Microsoft Entra ID OAuth flow completes</t>
        </is>
      </c>
      <c r="H12" s="4" t="inlineStr">
        <is>
          <t>Azure AD app registered with redirect URI configured.</t>
        </is>
      </c>
      <c r="I12" s="4" t="inlineStr">
        <is>
          <t>1. Click 'Sign in with Microsoft'
2. Complete Entra login
3. Land on dashboard</t>
        </is>
      </c>
      <c r="J12" s="4" t="inlineStr">
        <is>
          <t>Valid Essen AD account</t>
        </is>
      </c>
      <c r="K12" s="4" t="inlineStr">
        <is>
          <t>Redirected back to /dashboard. Session cookie set. User row created/updated.</t>
        </is>
      </c>
      <c r="L12" s="4" t="inlineStr">
        <is>
          <t>Primary auth path for all staff.</t>
        </is>
      </c>
      <c r="M12" s="4" t="inlineStr"/>
      <c r="N12" s="4" t="inlineStr"/>
      <c r="O12" s="4" t="inlineStr"/>
      <c r="P12" s="4" t="inlineStr"/>
      <c r="Q12" s="4" t="inlineStr"/>
      <c r="R12" s="4" t="inlineStr"/>
    </row>
    <row r="13" ht="45" customHeight="1">
      <c r="A13" s="15" t="inlineStr">
        <is>
          <t>TC-0011</t>
        </is>
      </c>
      <c r="B13" s="15" t="inlineStr">
        <is>
          <t>01 — Authentication &amp; Access</t>
        </is>
      </c>
      <c r="C13" s="15" t="inlineStr">
        <is>
          <t>Credentials login</t>
        </is>
      </c>
      <c r="D13" s="16" t="inlineStr">
        <is>
          <t>Functional</t>
        </is>
      </c>
      <c r="E13" s="17" t="inlineStr">
        <is>
          <t>P0</t>
        </is>
      </c>
      <c r="F13" s="15" t="inlineStr">
        <is>
          <t>Admin</t>
        </is>
      </c>
      <c r="G13" s="15" t="inlineStr">
        <is>
          <t>Email + password login for seeded admin</t>
        </is>
      </c>
      <c r="H13" s="15" t="inlineStr">
        <is>
          <t>Admin user seeded.</t>
        </is>
      </c>
      <c r="I13" s="15" t="inlineStr">
        <is>
          <t>1. Visit /auth/signin
2. Enter admin email + password
3. Submit</t>
        </is>
      </c>
      <c r="J13" s="15" t="inlineStr">
        <is>
          <t>admin@essen.com / seeded password</t>
        </is>
      </c>
      <c r="K13" s="15" t="inlineStr">
        <is>
          <t>Redirected to /dashboard. Session cookie HttpOnly, SameSite=Lax, Secure (in prod).</t>
        </is>
      </c>
      <c r="L13" s="15" t="inlineStr">
        <is>
          <t>Fallback auth for dev + emergency.</t>
        </is>
      </c>
      <c r="M13" s="15" t="inlineStr"/>
      <c r="N13" s="4" t="inlineStr"/>
      <c r="O13" s="15" t="inlineStr"/>
      <c r="P13" s="15" t="inlineStr"/>
      <c r="Q13" s="15" t="inlineStr"/>
      <c r="R13" s="15" t="inlineStr"/>
    </row>
    <row r="14" ht="45" customHeight="1">
      <c r="A14" s="4" t="inlineStr">
        <is>
          <t>TC-0012</t>
        </is>
      </c>
      <c r="B14" s="4" t="inlineStr">
        <is>
          <t>01 — Authentication &amp; Access</t>
        </is>
      </c>
      <c r="C14" s="4" t="inlineStr">
        <is>
          <t>Credentials login</t>
        </is>
      </c>
      <c r="D14" s="21" t="inlineStr">
        <is>
          <t>Negative</t>
        </is>
      </c>
      <c r="E14" s="17" t="inlineStr">
        <is>
          <t>P0</t>
        </is>
      </c>
      <c r="F14" s="4" t="inlineStr">
        <is>
          <t>Anonymous</t>
        </is>
      </c>
      <c r="G14" s="4" t="inlineStr">
        <is>
          <t>Wrong password rejected with generic error</t>
        </is>
      </c>
      <c r="H14" s="4" t="inlineStr">
        <is>
          <t>Existing user.</t>
        </is>
      </c>
      <c r="I14" s="4" t="inlineStr">
        <is>
          <t>1. Submit wrong password</t>
        </is>
      </c>
      <c r="J14" s="4" t="inlineStr">
        <is>
          <t>Valid email + wrong password</t>
        </is>
      </c>
      <c r="K14" s="4" t="inlineStr">
        <is>
          <t>Generic 'Invalid credentials' message. No info leaked about whether email exists.</t>
        </is>
      </c>
      <c r="L14" s="4" t="inlineStr">
        <is>
          <t>Prevents user enumeration attacks.</t>
        </is>
      </c>
      <c r="M14" s="4" t="inlineStr"/>
      <c r="N14" s="4" t="inlineStr"/>
      <c r="O14" s="4" t="inlineStr"/>
      <c r="P14" s="4" t="inlineStr"/>
      <c r="Q14" s="4" t="inlineStr"/>
      <c r="R14" s="4" t="inlineStr"/>
    </row>
    <row r="15" ht="45" customHeight="1">
      <c r="A15" s="15" t="inlineStr">
        <is>
          <t>TC-0013</t>
        </is>
      </c>
      <c r="B15" s="15" t="inlineStr">
        <is>
          <t>01 — Authentication &amp; Access</t>
        </is>
      </c>
      <c r="C15" s="15" t="inlineStr">
        <is>
          <t>Session</t>
        </is>
      </c>
      <c r="D15" s="22" t="inlineStr">
        <is>
          <t>Security</t>
        </is>
      </c>
      <c r="E15" s="17" t="inlineStr">
        <is>
          <t>P0</t>
        </is>
      </c>
      <c r="F15" s="15" t="inlineStr">
        <is>
          <t>Specialist</t>
        </is>
      </c>
      <c r="G15" s="15" t="inlineStr">
        <is>
          <t>Session expires after configured TTL</t>
        </is>
      </c>
      <c r="H15" s="15" t="inlineStr">
        <is>
          <t>Logged in user.</t>
        </is>
      </c>
      <c r="I15" s="15" t="inlineStr">
        <is>
          <t>1. Set system clock forward past session TTL OR wait
2. Refresh page</t>
        </is>
      </c>
      <c r="J15" s="15" t="inlineStr">
        <is>
          <t>(none)</t>
        </is>
      </c>
      <c r="K15" s="15" t="inlineStr">
        <is>
          <t>Redirected to /auth/signin.</t>
        </is>
      </c>
      <c r="L15" s="15" t="inlineStr">
        <is>
          <t>Stale sessions = stolen cookie risk.</t>
        </is>
      </c>
      <c r="M15" s="15" t="inlineStr"/>
      <c r="N15" s="4" t="inlineStr"/>
      <c r="O15" s="15" t="inlineStr"/>
      <c r="P15" s="15" t="inlineStr"/>
      <c r="Q15" s="15" t="inlineStr"/>
      <c r="R15" s="15" t="inlineStr"/>
    </row>
    <row r="16" ht="45" customHeight="1">
      <c r="A16" s="4" t="inlineStr">
        <is>
          <t>TC-0014</t>
        </is>
      </c>
      <c r="B16" s="4" t="inlineStr">
        <is>
          <t>01 — Authentication &amp; Access</t>
        </is>
      </c>
      <c r="C16" s="4" t="inlineStr">
        <is>
          <t>Sign out</t>
        </is>
      </c>
      <c r="D16" s="16" t="inlineStr">
        <is>
          <t>Functional</t>
        </is>
      </c>
      <c r="E16" s="17" t="inlineStr">
        <is>
          <t>P0</t>
        </is>
      </c>
      <c r="F16" s="4" t="inlineStr">
        <is>
          <t>Specialist</t>
        </is>
      </c>
      <c r="G16" s="4" t="inlineStr">
        <is>
          <t>Sign out clears session and redirects</t>
        </is>
      </c>
      <c r="H16" s="4" t="inlineStr">
        <is>
          <t>Logged in user.</t>
        </is>
      </c>
      <c r="I16" s="4" t="inlineStr">
        <is>
          <t>1. Click 'Sign out' in sidebar</t>
        </is>
      </c>
      <c r="J16" s="4" t="inlineStr">
        <is>
          <t>(none)</t>
        </is>
      </c>
      <c r="K16" s="4" t="inlineStr">
        <is>
          <t>Redirected to /auth/signin. Browser session cookie cleared. Visiting /dashboard redirects back to signin.</t>
        </is>
      </c>
      <c r="L16" s="4" t="inlineStr">
        <is>
          <t>Critical for shared workstations.</t>
        </is>
      </c>
      <c r="M16" s="4" t="inlineStr"/>
      <c r="N16" s="4" t="inlineStr"/>
      <c r="O16" s="4" t="inlineStr"/>
      <c r="P16" s="4" t="inlineStr"/>
      <c r="Q16" s="4" t="inlineStr"/>
      <c r="R16" s="4" t="inlineStr"/>
    </row>
    <row r="17" ht="45" customHeight="1">
      <c r="A17" s="15" t="inlineStr">
        <is>
          <t>TC-0015</t>
        </is>
      </c>
      <c r="B17" s="15" t="inlineStr">
        <is>
          <t>01 — Authentication &amp; Access</t>
        </is>
      </c>
      <c r="C17" s="15" t="inlineStr">
        <is>
          <t>RBAC</t>
        </is>
      </c>
      <c r="D17" s="22" t="inlineStr">
        <is>
          <t>Security</t>
        </is>
      </c>
      <c r="E17" s="17" t="inlineStr">
        <is>
          <t>P0</t>
        </is>
      </c>
      <c r="F17" s="15" t="inlineStr">
        <is>
          <t>Provider</t>
        </is>
      </c>
      <c r="G17" s="15" t="inlineStr">
        <is>
          <t>PROVIDER role cannot access /admin</t>
        </is>
      </c>
      <c r="H17" s="15" t="inlineStr">
        <is>
          <t>Logged in as PROVIDER.</t>
        </is>
      </c>
      <c r="I17" s="15" t="inlineStr">
        <is>
          <t>1. Navigate to /admin via URL</t>
        </is>
      </c>
      <c r="J17" s="15" t="inlineStr">
        <is>
          <t>(none)</t>
        </is>
      </c>
      <c r="K17" s="15" t="inlineStr">
        <is>
          <t>403 / redirect, not the admin page. Audit log records denied attempt.</t>
        </is>
      </c>
      <c r="L17" s="15" t="inlineStr">
        <is>
          <t>Prevents privilege escalation by direct-URL navigation.</t>
        </is>
      </c>
      <c r="M17" s="15" t="inlineStr"/>
      <c r="N17" s="4" t="inlineStr"/>
      <c r="O17" s="15" t="inlineStr"/>
      <c r="P17" s="15" t="inlineStr"/>
      <c r="Q17" s="15" t="inlineStr"/>
      <c r="R17" s="15" t="inlineStr"/>
    </row>
    <row r="18" ht="45" customHeight="1">
      <c r="A18" s="4" t="inlineStr">
        <is>
          <t>TC-0016</t>
        </is>
      </c>
      <c r="B18" s="4" t="inlineStr">
        <is>
          <t>01 — Authentication &amp; Access</t>
        </is>
      </c>
      <c r="C18" s="4" t="inlineStr">
        <is>
          <t>RBAC</t>
        </is>
      </c>
      <c r="D18" s="22" t="inlineStr">
        <is>
          <t>Security</t>
        </is>
      </c>
      <c r="E18" s="17" t="inlineStr">
        <is>
          <t>P0</t>
        </is>
      </c>
      <c r="F18" s="4" t="inlineStr">
        <is>
          <t>Specialist</t>
        </is>
      </c>
      <c r="G18" s="4" t="inlineStr">
        <is>
          <t>SPECIALIST cannot access /admin/users</t>
        </is>
      </c>
      <c r="H18" s="4" t="inlineStr">
        <is>
          <t>Logged in as SPECIALIST.</t>
        </is>
      </c>
      <c r="I18" s="4" t="inlineStr">
        <is>
          <t>1. Navigate to /admin/users</t>
        </is>
      </c>
      <c r="J18" s="4" t="inlineStr">
        <is>
          <t>(none)</t>
        </is>
      </c>
      <c r="K18" s="4" t="inlineStr">
        <is>
          <t>Access denied. Audit log entry created.</t>
        </is>
      </c>
      <c r="L18" s="4" t="inlineStr">
        <is>
          <t>User management is admin-only.</t>
        </is>
      </c>
      <c r="M18" s="4" t="inlineStr"/>
      <c r="N18" s="4" t="inlineStr"/>
      <c r="O18" s="4" t="inlineStr"/>
      <c r="P18" s="4" t="inlineStr"/>
      <c r="Q18" s="4" t="inlineStr"/>
      <c r="R18" s="4" t="inlineStr"/>
    </row>
    <row r="19" ht="45" customHeight="1">
      <c r="A19" s="15" t="inlineStr">
        <is>
          <t>TC-0017</t>
        </is>
      </c>
      <c r="B19" s="15" t="inlineStr">
        <is>
          <t>01 — Authentication &amp; Access</t>
        </is>
      </c>
      <c r="C19" s="15" t="inlineStr">
        <is>
          <t>RBAC</t>
        </is>
      </c>
      <c r="D19" s="22" t="inlineStr">
        <is>
          <t>Security</t>
        </is>
      </c>
      <c r="E19" s="17" t="inlineStr">
        <is>
          <t>P0</t>
        </is>
      </c>
      <c r="F19" s="15" t="inlineStr">
        <is>
          <t>Committee</t>
        </is>
      </c>
      <c r="G19" s="15" t="inlineStr">
        <is>
          <t>COMMITTEE_MEMBER limited to committee + read-only providers</t>
        </is>
      </c>
      <c r="H19" s="15" t="inlineStr">
        <is>
          <t>Logged in as COMMITTEE_MEMBER.</t>
        </is>
      </c>
      <c r="I19" s="15" t="inlineStr">
        <is>
          <t>1. Try to edit a Provider record
2. Try to access /admin</t>
        </is>
      </c>
      <c r="J19" s="15" t="inlineStr">
        <is>
          <t>(none)</t>
        </is>
      </c>
      <c r="K19" s="15" t="inlineStr">
        <is>
          <t>Edits blocked. Admin denied. Committee pages accessible.</t>
        </is>
      </c>
      <c r="L19" s="15" t="inlineStr">
        <is>
          <t>Committee members must not modify provider data.</t>
        </is>
      </c>
      <c r="M19" s="15" t="inlineStr"/>
      <c r="N19" s="4" t="inlineStr"/>
      <c r="O19" s="15" t="inlineStr"/>
      <c r="P19" s="15" t="inlineStr"/>
      <c r="Q19" s="15" t="inlineStr"/>
      <c r="R19" s="15" t="inlineStr"/>
    </row>
    <row r="20" ht="45" customHeight="1">
      <c r="A20" s="4" t="inlineStr">
        <is>
          <t>TC-0018</t>
        </is>
      </c>
      <c r="B20" s="4" t="inlineStr">
        <is>
          <t>01 — Authentication &amp; Access</t>
        </is>
      </c>
      <c r="C20" s="4" t="inlineStr">
        <is>
          <t>RBAC</t>
        </is>
      </c>
      <c r="D20" s="22" t="inlineStr">
        <is>
          <t>Security</t>
        </is>
      </c>
      <c r="E20" s="17" t="inlineStr">
        <is>
          <t>P0</t>
        </is>
      </c>
      <c r="F20" s="4" t="inlineStr">
        <is>
          <t>Provider</t>
        </is>
      </c>
      <c r="G20" s="4" t="inlineStr">
        <is>
          <t>Provider portal IDOR — cannot access another provider</t>
        </is>
      </c>
      <c r="H20" s="4" t="inlineStr">
        <is>
          <t>Two providers exist (P1, P2). Logged in as P1.</t>
        </is>
      </c>
      <c r="I20" s="4" t="inlineStr">
        <is>
          <t>1. Try to load P2's documents via API: GET /api/documents/{p2-doc-id}/download</t>
        </is>
      </c>
      <c r="J20" s="4" t="inlineStr">
        <is>
          <t>(none)</t>
        </is>
      </c>
      <c r="K20" s="4" t="inlineStr">
        <is>
          <t>403/404. Cross-provider access blocked.</t>
        </is>
      </c>
      <c r="L20" s="4" t="inlineStr">
        <is>
          <t>Insecure-direct-object-reference is the #1 multi-tenant breach vector.</t>
        </is>
      </c>
      <c r="M20" s="4" t="inlineStr"/>
      <c r="N20" s="4" t="inlineStr"/>
      <c r="O20" s="4" t="inlineStr"/>
      <c r="P20" s="4" t="inlineStr"/>
      <c r="Q20" s="4" t="inlineStr"/>
      <c r="R20" s="4" t="inlineStr"/>
    </row>
    <row r="21" ht="45" customHeight="1">
      <c r="A21" s="15" t="inlineStr">
        <is>
          <t>TC-0019</t>
        </is>
      </c>
      <c r="B21" s="15" t="inlineStr">
        <is>
          <t>01 — Authentication &amp; Access</t>
        </is>
      </c>
      <c r="C21" s="15" t="inlineStr">
        <is>
          <t>Public token</t>
        </is>
      </c>
      <c r="D21" s="22" t="inlineStr">
        <is>
          <t>Security</t>
        </is>
      </c>
      <c r="E21" s="17" t="inlineStr">
        <is>
          <t>P0</t>
        </is>
      </c>
      <c r="F21" s="15" t="inlineStr">
        <is>
          <t>Anonymous</t>
        </is>
      </c>
      <c r="G21" s="15" t="inlineStr">
        <is>
          <t>Reference token expires after window</t>
        </is>
      </c>
      <c r="H21" s="15" t="inlineStr">
        <is>
          <t>Reference request sent with token expiry &lt; now.</t>
        </is>
      </c>
      <c r="I21" s="15" t="inlineStr">
        <is>
          <t>1. Visit /verify/reference/&lt;expired-token&gt;</t>
        </is>
      </c>
      <c r="J21" s="15" t="inlineStr">
        <is>
          <t>(none)</t>
        </is>
      </c>
      <c r="K21" s="15" t="inlineStr">
        <is>
          <t>Friendly 'link expired' page. No data revealed.</t>
        </is>
      </c>
      <c r="L21" s="15" t="inlineStr">
        <is>
          <t>Email forwarding / leaks must not allow indefinite access.</t>
        </is>
      </c>
      <c r="M21" s="15" t="inlineStr"/>
      <c r="N21" s="4" t="inlineStr"/>
      <c r="O21" s="15" t="inlineStr"/>
      <c r="P21" s="15" t="inlineStr"/>
      <c r="Q21" s="15" t="inlineStr"/>
      <c r="R21" s="15" t="inlineStr"/>
    </row>
    <row r="22" ht="45" customHeight="1">
      <c r="A22" s="4" t="inlineStr">
        <is>
          <t>TC-0020</t>
        </is>
      </c>
      <c r="B22" s="4" t="inlineStr">
        <is>
          <t>01 — Authentication &amp; Access</t>
        </is>
      </c>
      <c r="C22" s="4" t="inlineStr">
        <is>
          <t>CSRF</t>
        </is>
      </c>
      <c r="D22" s="22" t="inlineStr">
        <is>
          <t>Security</t>
        </is>
      </c>
      <c r="E22" s="23" t="inlineStr">
        <is>
          <t>P1</t>
        </is>
      </c>
      <c r="F22" s="4" t="inlineStr">
        <is>
          <t>Specialist</t>
        </is>
      </c>
      <c r="G22" s="4" t="inlineStr">
        <is>
          <t>tRPC mutation requires session cookie + same-origin</t>
        </is>
      </c>
      <c r="H22" s="4" t="inlineStr">
        <is>
          <t>Logged in.</t>
        </is>
      </c>
      <c r="I22" s="4" t="inlineStr">
        <is>
          <t>1. Use curl from another origin to POST to a tRPC mutation without proper headers</t>
        </is>
      </c>
      <c r="J22" s="4" t="inlineStr">
        <is>
          <t>(none)</t>
        </is>
      </c>
      <c r="K22" s="4" t="inlineStr">
        <is>
          <t>Request rejected (401/403).</t>
        </is>
      </c>
      <c r="L22" s="4" t="inlineStr">
        <is>
          <t>Without CSRF protection, auth-cookie-based attacks succeed.</t>
        </is>
      </c>
      <c r="M22" s="4" t="inlineStr"/>
      <c r="N22" s="4" t="inlineStr"/>
      <c r="O22" s="4" t="inlineStr"/>
      <c r="P22" s="4" t="inlineStr"/>
      <c r="Q22" s="4" t="inlineStr"/>
      <c r="R22" s="4" t="inlineStr"/>
    </row>
    <row r="23" ht="56" customHeight="1">
      <c r="A23" s="15" t="inlineStr">
        <is>
          <t>TC-0021</t>
        </is>
      </c>
      <c r="B23" s="15" t="inlineStr">
        <is>
          <t>01 — Authentication &amp; Access</t>
        </is>
      </c>
      <c r="C23" s="15" t="inlineStr">
        <is>
          <t>Headers</t>
        </is>
      </c>
      <c r="D23" s="22" t="inlineStr">
        <is>
          <t>Security</t>
        </is>
      </c>
      <c r="E23" s="23" t="inlineStr">
        <is>
          <t>P1</t>
        </is>
      </c>
      <c r="F23" s="15" t="inlineStr">
        <is>
          <t>DevOps</t>
        </is>
      </c>
      <c r="G23" s="15" t="inlineStr">
        <is>
          <t>Security headers present on all HTML responses</t>
        </is>
      </c>
      <c r="H23" s="15" t="inlineStr">
        <is>
          <t>Web up.</t>
        </is>
      </c>
      <c r="I23" s="15" t="inlineStr">
        <is>
          <t>1. `curl -I http://localhost:6015/dashboard`</t>
        </is>
      </c>
      <c r="J23" s="15" t="inlineStr">
        <is>
          <t>(none)</t>
        </is>
      </c>
      <c r="K23" s="15" t="inlineStr">
        <is>
          <t>X-Content-Type-Options=nosniff, X-Frame-Options=DENY, Referrer-Policy=strict-origin-when-cross-origin, Permissions-Policy set.</t>
        </is>
      </c>
      <c r="L23" s="15" t="inlineStr">
        <is>
          <t>Defense-in-depth against MIME sniffing, clickjacking.</t>
        </is>
      </c>
      <c r="M23" s="15" t="inlineStr"/>
      <c r="N23" s="4" t="inlineStr"/>
      <c r="O23" s="15" t="inlineStr"/>
      <c r="P23" s="15" t="inlineStr"/>
      <c r="Q23" s="15" t="inlineStr"/>
      <c r="R23" s="15" t="inlineStr"/>
    </row>
    <row r="24" ht="45" customHeight="1">
      <c r="A24" s="4" t="inlineStr">
        <is>
          <t>TC-0022</t>
        </is>
      </c>
      <c r="B24" s="4" t="inlineStr">
        <is>
          <t>01 — Authentication &amp; Access</t>
        </is>
      </c>
      <c r="C24" s="4" t="inlineStr">
        <is>
          <t>Cache headers</t>
        </is>
      </c>
      <c r="D24" s="22" t="inlineStr">
        <is>
          <t>Security</t>
        </is>
      </c>
      <c r="E24" s="17" t="inlineStr">
        <is>
          <t>P0</t>
        </is>
      </c>
      <c r="F24" s="4" t="inlineStr">
        <is>
          <t>DevOps</t>
        </is>
      </c>
      <c r="G24" s="4" t="inlineStr">
        <is>
          <t>Dev JS chunks send no-store</t>
        </is>
      </c>
      <c r="H24" s="4" t="inlineStr">
        <is>
          <t>Dev mode running.</t>
        </is>
      </c>
      <c r="I24" s="4" t="inlineStr">
        <is>
          <t>1. `curl -I http://localhost:6015/_next/static/chunks/app/layout.js`</t>
        </is>
      </c>
      <c r="J24" s="4" t="inlineStr">
        <is>
          <t>(none)</t>
        </is>
      </c>
      <c r="K24" s="4" t="inlineStr">
        <is>
          <t>Cache-Control: no-store, must-revalidate.</t>
        </is>
      </c>
      <c r="L24" s="4" t="inlineStr">
        <is>
          <t>Aggressive cache on dev = stale code stuck in browser for a year.</t>
        </is>
      </c>
      <c r="M24" s="4" t="inlineStr"/>
      <c r="N24" s="4" t="inlineStr"/>
      <c r="O24" s="4" t="inlineStr"/>
      <c r="P24" s="4" t="inlineStr"/>
      <c r="Q24" s="4" t="inlineStr"/>
      <c r="R24" s="4" t="inlineStr"/>
    </row>
    <row r="25" ht="45" customHeight="1">
      <c r="A25" s="15" t="inlineStr">
        <is>
          <t>TC-0023</t>
        </is>
      </c>
      <c r="B25" s="15" t="inlineStr">
        <is>
          <t>02 — Provider Onboarding (portal)</t>
        </is>
      </c>
      <c r="C25" s="15" t="inlineStr">
        <is>
          <t>Invite</t>
        </is>
      </c>
      <c r="D25" s="16" t="inlineStr">
        <is>
          <t>Functional</t>
        </is>
      </c>
      <c r="E25" s="17" t="inlineStr">
        <is>
          <t>P0</t>
        </is>
      </c>
      <c r="F25" s="15" t="inlineStr">
        <is>
          <t>Specialist</t>
        </is>
      </c>
      <c r="G25" s="15" t="inlineStr">
        <is>
          <t>Provider receives invite email with magic link</t>
        </is>
      </c>
      <c r="H25" s="15" t="inlineStr">
        <is>
          <t>Specialist created provider record with email.</t>
        </is>
      </c>
      <c r="I25" s="15" t="inlineStr">
        <is>
          <t>1. As Specialist, click 'Send Invite' on provider page
2. Check provider's inbox</t>
        </is>
      </c>
      <c r="J25" s="15" t="inlineStr">
        <is>
          <t>Provider email</t>
        </is>
      </c>
      <c r="K25" s="15" t="inlineStr">
        <is>
          <t>Email arrives within 60s. Subject: 'Welcome to ESSEN'. Magic link valid for X hours.</t>
        </is>
      </c>
      <c r="L25" s="15" t="inlineStr">
        <is>
          <t>First touchpoint with provider; broken invite = onboarding never starts.</t>
        </is>
      </c>
      <c r="M25" s="15" t="inlineStr"/>
      <c r="N25" s="4" t="inlineStr"/>
      <c r="O25" s="15" t="inlineStr"/>
      <c r="P25" s="15" t="inlineStr"/>
      <c r="Q25" s="15" t="inlineStr"/>
      <c r="R25" s="15" t="inlineStr"/>
    </row>
    <row r="26" ht="45" customHeight="1">
      <c r="A26" s="4" t="inlineStr">
        <is>
          <t>TC-0024</t>
        </is>
      </c>
      <c r="B26" s="4" t="inlineStr">
        <is>
          <t>02 — Provider Onboarding (portal)</t>
        </is>
      </c>
      <c r="C26" s="4" t="inlineStr">
        <is>
          <t>Application Section 0</t>
        </is>
      </c>
      <c r="D26" s="16" t="inlineStr">
        <is>
          <t>Functional</t>
        </is>
      </c>
      <c r="E26" s="17" t="inlineStr">
        <is>
          <t>P0</t>
        </is>
      </c>
      <c r="F26" s="4" t="inlineStr">
        <is>
          <t>Provider</t>
        </is>
      </c>
      <c r="G26" s="4" t="inlineStr">
        <is>
          <t>Section 0 (Demographics) saves all required fields</t>
        </is>
      </c>
      <c r="H26" s="4" t="inlineStr">
        <is>
          <t>Provider logged into portal.</t>
        </is>
      </c>
      <c r="I26" s="4" t="inlineStr">
        <is>
          <t>1. Open application
2. Fill DOB, SSN (last 4), gender, race, ethnicity, languages
3. Click Save</t>
        </is>
      </c>
      <c r="J26" s="4" t="inlineStr">
        <is>
          <t>DOB=01/01/1980, gender=Female, race=BLACK, ethnicity=NOT_HISPANIC, languages=[English, Spanish]</t>
        </is>
      </c>
      <c r="K26" s="4" t="inlineStr">
        <is>
          <t>Saved. Reloading page shows all values persisted. SSN encrypted in DB.</t>
        </is>
      </c>
      <c r="L26" s="4" t="inlineStr">
        <is>
          <t>NCQA 2026 demographic requirements; SSN must be encrypted at rest.</t>
        </is>
      </c>
      <c r="M26" s="4" t="inlineStr"/>
      <c r="N26" s="4" t="inlineStr"/>
      <c r="O26" s="4" t="inlineStr"/>
      <c r="P26" s="4" t="inlineStr"/>
      <c r="Q26" s="4" t="inlineStr"/>
      <c r="R26" s="4" t="inlineStr"/>
    </row>
    <row r="27" ht="45" customHeight="1">
      <c r="A27" s="15" t="inlineStr">
        <is>
          <t>TC-0025</t>
        </is>
      </c>
      <c r="B27" s="15" t="inlineStr">
        <is>
          <t>02 — Provider Onboarding (portal)</t>
        </is>
      </c>
      <c r="C27" s="15" t="inlineStr">
        <is>
          <t>Application Section 0</t>
        </is>
      </c>
      <c r="D27" s="21" t="inlineStr">
        <is>
          <t>Negative</t>
        </is>
      </c>
      <c r="E27" s="23" t="inlineStr">
        <is>
          <t>P1</t>
        </is>
      </c>
      <c r="F27" s="15" t="inlineStr">
        <is>
          <t>Provider</t>
        </is>
      </c>
      <c r="G27" s="15" t="inlineStr">
        <is>
          <t>Invalid DOB rejected</t>
        </is>
      </c>
      <c r="H27" s="15" t="inlineStr">
        <is>
          <t>Section 0 open.</t>
        </is>
      </c>
      <c r="I27" s="15" t="inlineStr">
        <is>
          <t>1. Enter DOB 01/01/2050</t>
        </is>
      </c>
      <c r="J27" s="15" t="inlineStr">
        <is>
          <t>Future DOB</t>
        </is>
      </c>
      <c r="K27" s="15" t="inlineStr">
        <is>
          <t>Inline validation error. Save blocked.</t>
        </is>
      </c>
      <c r="L27" s="15" t="inlineStr">
        <is>
          <t>Future DOBs are clearly invalid and would break recredentialing math.</t>
        </is>
      </c>
      <c r="M27" s="15" t="inlineStr"/>
      <c r="N27" s="4" t="inlineStr"/>
      <c r="O27" s="15" t="inlineStr"/>
      <c r="P27" s="15" t="inlineStr"/>
      <c r="Q27" s="15" t="inlineStr"/>
      <c r="R27" s="15" t="inlineStr"/>
    </row>
    <row r="28" ht="56" customHeight="1">
      <c r="A28" s="4" t="inlineStr">
        <is>
          <t>TC-0026</t>
        </is>
      </c>
      <c r="B28" s="4" t="inlineStr">
        <is>
          <t>02 — Provider Onboarding (portal)</t>
        </is>
      </c>
      <c r="C28" s="4" t="inlineStr">
        <is>
          <t>Application Section 0</t>
        </is>
      </c>
      <c r="D28" s="20" t="inlineStr">
        <is>
          <t>UI</t>
        </is>
      </c>
      <c r="E28" s="19" t="inlineStr">
        <is>
          <t>P2</t>
        </is>
      </c>
      <c r="F28" s="4" t="inlineStr">
        <is>
          <t>Provider</t>
        </is>
      </c>
      <c r="G28" s="4" t="inlineStr">
        <is>
          <t>Race / ethnicity dropdowns match NCQA value sets</t>
        </is>
      </c>
      <c r="H28" s="4" t="inlineStr">
        <is>
          <t>Section 0 open.</t>
        </is>
      </c>
      <c r="I28" s="4" t="inlineStr">
        <is>
          <t>1. Inspect dropdowns</t>
        </is>
      </c>
      <c r="J28" s="4" t="inlineStr">
        <is>
          <t>(none)</t>
        </is>
      </c>
      <c r="K28" s="4" t="inlineStr">
        <is>
          <t>Race options match HL7 OMB categories (AI/AN, Asian, Black, NH/PI, White, Other, Decline). Ethnicity = Hispanic / Not Hispanic / Decline.</t>
        </is>
      </c>
      <c r="L28" s="4" t="inlineStr">
        <is>
          <t>Mismatched value sets break NCQA submission and BI rollups.</t>
        </is>
      </c>
      <c r="M28" s="4" t="inlineStr"/>
      <c r="N28" s="4" t="inlineStr"/>
      <c r="O28" s="4" t="inlineStr"/>
      <c r="P28" s="4" t="inlineStr"/>
      <c r="Q28" s="4" t="inlineStr"/>
      <c r="R28" s="4" t="inlineStr"/>
    </row>
    <row r="29" ht="45" customHeight="1">
      <c r="A29" s="15" t="inlineStr">
        <is>
          <t>TC-0027</t>
        </is>
      </c>
      <c r="B29" s="15" t="inlineStr">
        <is>
          <t>02 — Provider Onboarding (portal)</t>
        </is>
      </c>
      <c r="C29" s="15" t="inlineStr">
        <is>
          <t>Application Section 9</t>
        </is>
      </c>
      <c r="D29" s="16" t="inlineStr">
        <is>
          <t>Functional</t>
        </is>
      </c>
      <c r="E29" s="17" t="inlineStr">
        <is>
          <t>P0</t>
        </is>
      </c>
      <c r="F29" s="15" t="inlineStr">
        <is>
          <t>Provider</t>
        </is>
      </c>
      <c r="G29" s="15" t="inlineStr">
        <is>
          <t>Attestation block requires every checkbox</t>
        </is>
      </c>
      <c r="H29" s="15" t="inlineStr">
        <is>
          <t>Sections 0-8 complete.</t>
        </is>
      </c>
      <c r="I29" s="15" t="inlineStr">
        <is>
          <t>1. Open Section 9
2. Try to submit without ticking non-discrimination box</t>
        </is>
      </c>
      <c r="J29" s="15" t="inlineStr">
        <is>
          <t>Disclosure version present</t>
        </is>
      </c>
      <c r="K29" s="15" t="inlineStr">
        <is>
          <t>Submit blocked until all attestation boxes checked.</t>
        </is>
      </c>
      <c r="L29" s="15" t="inlineStr">
        <is>
          <t>NCQA application must capture explicit attestations for legal validity.</t>
        </is>
      </c>
      <c r="M29" s="15" t="inlineStr"/>
      <c r="N29" s="4" t="inlineStr"/>
      <c r="O29" s="15" t="inlineStr"/>
      <c r="P29" s="15" t="inlineStr"/>
      <c r="Q29" s="15" t="inlineStr"/>
      <c r="R29" s="15" t="inlineStr"/>
    </row>
    <row r="30" ht="45" customHeight="1">
      <c r="A30" s="4" t="inlineStr">
        <is>
          <t>TC-0028</t>
        </is>
      </c>
      <c r="B30" s="4" t="inlineStr">
        <is>
          <t>02 — Provider Onboarding (portal)</t>
        </is>
      </c>
      <c r="C30" s="4" t="inlineStr">
        <is>
          <t>Application Section 9</t>
        </is>
      </c>
      <c r="D30" s="16" t="inlineStr">
        <is>
          <t>Functional</t>
        </is>
      </c>
      <c r="E30" s="17" t="inlineStr">
        <is>
          <t>P0</t>
        </is>
      </c>
      <c r="F30" s="4" t="inlineStr">
        <is>
          <t>Provider</t>
        </is>
      </c>
      <c r="G30" s="4" t="inlineStr">
        <is>
          <t>Attestation submission stamps disclosureVersion + timestamp</t>
        </is>
      </c>
      <c r="H30" s="4" t="inlineStr">
        <is>
          <t>All sections complete + boxes checked.</t>
        </is>
      </c>
      <c r="I30" s="4" t="inlineStr">
        <is>
          <t>1. Click Submit
2. Inspect provider record in DB</t>
        </is>
      </c>
      <c r="J30" s="4" t="inlineStr">
        <is>
          <t>(none)</t>
        </is>
      </c>
      <c r="K30" s="4" t="inlineStr">
        <is>
          <t>applicationSubmittedAt set, disclosureVersion stored, attestation row created with audit hash.</t>
        </is>
      </c>
      <c r="L30" s="4" t="inlineStr">
        <is>
          <t>Without disclosureVersion, can't prove which legal notice the provider agreed to.</t>
        </is>
      </c>
      <c r="M30" s="4" t="inlineStr"/>
      <c r="N30" s="4" t="inlineStr"/>
      <c r="O30" s="4" t="inlineStr"/>
      <c r="P30" s="4" t="inlineStr"/>
      <c r="Q30" s="4" t="inlineStr"/>
      <c r="R30" s="4" t="inlineStr"/>
    </row>
    <row r="31" ht="45" customHeight="1">
      <c r="A31" s="15" t="inlineStr">
        <is>
          <t>TC-0029</t>
        </is>
      </c>
      <c r="B31" s="15" t="inlineStr">
        <is>
          <t>02 — Provider Onboarding (portal)</t>
        </is>
      </c>
      <c r="C31" s="15" t="inlineStr">
        <is>
          <t>Document upload</t>
        </is>
      </c>
      <c r="D31" s="16" t="inlineStr">
        <is>
          <t>Functional</t>
        </is>
      </c>
      <c r="E31" s="17" t="inlineStr">
        <is>
          <t>P0</t>
        </is>
      </c>
      <c r="F31" s="15" t="inlineStr">
        <is>
          <t>Provider</t>
        </is>
      </c>
      <c r="G31" s="15" t="inlineStr">
        <is>
          <t>Provider uploads PDF to a checklist slot</t>
        </is>
      </c>
      <c r="H31" s="15" t="inlineStr">
        <is>
          <t>Application submitted; checklist visible.</t>
        </is>
      </c>
      <c r="I31" s="15" t="inlineStr">
        <is>
          <t>1. Click upload on 'Government ID' row
2. Select valid PDF (&lt;25 MB)</t>
        </is>
      </c>
      <c r="J31" s="15" t="inlineStr">
        <is>
          <t>PDF file</t>
        </is>
      </c>
      <c r="K31" s="15" t="inlineStr">
        <is>
          <t>Spinner → success. Doc appears with filename, size, checksum. Stored in Azure Blob (or local emulator).</t>
        </is>
      </c>
      <c r="L31" s="15" t="inlineStr">
        <is>
          <t>Document upload is the most-used provider action; failure here blocks credentialing.</t>
        </is>
      </c>
      <c r="M31" s="15" t="inlineStr"/>
      <c r="N31" s="4" t="inlineStr"/>
      <c r="O31" s="15" t="inlineStr"/>
      <c r="P31" s="15" t="inlineStr"/>
      <c r="Q31" s="15" t="inlineStr"/>
      <c r="R31" s="15" t="inlineStr"/>
    </row>
    <row r="32" ht="45" customHeight="1">
      <c r="A32" s="4" t="inlineStr">
        <is>
          <t>TC-0030</t>
        </is>
      </c>
      <c r="B32" s="4" t="inlineStr">
        <is>
          <t>02 — Provider Onboarding (portal)</t>
        </is>
      </c>
      <c r="C32" s="4" t="inlineStr">
        <is>
          <t>Document upload</t>
        </is>
      </c>
      <c r="D32" s="21" t="inlineStr">
        <is>
          <t>Negative</t>
        </is>
      </c>
      <c r="E32" s="17" t="inlineStr">
        <is>
          <t>P0</t>
        </is>
      </c>
      <c r="F32" s="4" t="inlineStr">
        <is>
          <t>Provider</t>
        </is>
      </c>
      <c r="G32" s="4" t="inlineStr">
        <is>
          <t>Reject .exe upload</t>
        </is>
      </c>
      <c r="H32" s="4" t="inlineStr">
        <is>
          <t>Upload widget visible.</t>
        </is>
      </c>
      <c r="I32" s="4" t="inlineStr">
        <is>
          <t>1. Try to drop test.exe</t>
        </is>
      </c>
      <c r="J32" s="4" t="inlineStr">
        <is>
          <t>Executable file</t>
        </is>
      </c>
      <c r="K32" s="4" t="inlineStr">
        <is>
          <t>Rejected client-side AND server-side. 415 Unsupported Media Type if bypass attempted.</t>
        </is>
      </c>
      <c r="L32" s="4" t="inlineStr">
        <is>
          <t>Allowing executables = malware vector + audit failure.</t>
        </is>
      </c>
      <c r="M32" s="4" t="inlineStr"/>
      <c r="N32" s="4" t="inlineStr"/>
      <c r="O32" s="4" t="inlineStr"/>
      <c r="P32" s="4" t="inlineStr"/>
      <c r="Q32" s="4" t="inlineStr"/>
      <c r="R32" s="4" t="inlineStr"/>
    </row>
    <row r="33" ht="45" customHeight="1">
      <c r="A33" s="15" t="inlineStr">
        <is>
          <t>TC-0031</t>
        </is>
      </c>
      <c r="B33" s="15" t="inlineStr">
        <is>
          <t>02 — Provider Onboarding (portal)</t>
        </is>
      </c>
      <c r="C33" s="15" t="inlineStr">
        <is>
          <t>Document upload</t>
        </is>
      </c>
      <c r="D33" s="24" t="inlineStr">
        <is>
          <t>Boundary</t>
        </is>
      </c>
      <c r="E33" s="23" t="inlineStr">
        <is>
          <t>P1</t>
        </is>
      </c>
      <c r="F33" s="15" t="inlineStr">
        <is>
          <t>Provider</t>
        </is>
      </c>
      <c r="G33" s="15" t="inlineStr">
        <is>
          <t>File &gt;25 MB rejected with clear message</t>
        </is>
      </c>
      <c r="H33" s="15" t="inlineStr">
        <is>
          <t>Upload widget visible.</t>
        </is>
      </c>
      <c r="I33" s="15" t="inlineStr">
        <is>
          <t>1. Drop 30 MB PDF</t>
        </is>
      </c>
      <c r="J33" s="15" t="inlineStr">
        <is>
          <t>30 MB PDF</t>
        </is>
      </c>
      <c r="K33" s="15" t="inlineStr">
        <is>
          <t>Inline error 'File exceeds 25 MB limit'. No upload attempt.</t>
        </is>
      </c>
      <c r="L33" s="15" t="inlineStr">
        <is>
          <t>Prevents storage exhaustion + billing surprises.</t>
        </is>
      </c>
      <c r="M33" s="15" t="inlineStr"/>
      <c r="N33" s="4" t="inlineStr"/>
      <c r="O33" s="15" t="inlineStr"/>
      <c r="P33" s="15" t="inlineStr"/>
      <c r="Q33" s="15" t="inlineStr"/>
      <c r="R33" s="15" t="inlineStr"/>
    </row>
    <row r="34" ht="45" customHeight="1">
      <c r="A34" s="4" t="inlineStr">
        <is>
          <t>TC-0032</t>
        </is>
      </c>
      <c r="B34" s="4" t="inlineStr">
        <is>
          <t>02 — Provider Onboarding (portal)</t>
        </is>
      </c>
      <c r="C34" s="4" t="inlineStr">
        <is>
          <t>Document upload</t>
        </is>
      </c>
      <c r="D34" s="16" t="inlineStr">
        <is>
          <t>Functional</t>
        </is>
      </c>
      <c r="E34" s="23" t="inlineStr">
        <is>
          <t>P1</t>
        </is>
      </c>
      <c r="F34" s="4" t="inlineStr">
        <is>
          <t>Provider</t>
        </is>
      </c>
      <c r="G34" s="4" t="inlineStr">
        <is>
          <t>Auto-classifier suggests credential type</t>
        </is>
      </c>
      <c r="H34" s="4" t="inlineStr">
        <is>
          <t>Document classifier feature flag ON.</t>
        </is>
      </c>
      <c r="I34" s="4" t="inlineStr">
        <is>
          <t>1. Upload an unfiled DEA certificate PDF
2. Watch suggestion appear</t>
        </is>
      </c>
      <c r="J34" s="4" t="inlineStr">
        <is>
          <t>DEA cert PDF</t>
        </is>
      </c>
      <c r="K34" s="4" t="inlineStr">
        <is>
          <t>Within 30s, doc shows suggested label 'DEA Registration' with confidence %. User can accept/reject.</t>
        </is>
      </c>
      <c r="L34" s="4" t="inlineStr">
        <is>
          <t>Reduces manual filing time; advisory only — never auto-files.</t>
        </is>
      </c>
      <c r="M34" s="4" t="inlineStr"/>
      <c r="N34" s="4" t="inlineStr"/>
      <c r="O34" s="4" t="inlineStr"/>
      <c r="P34" s="4" t="inlineStr"/>
      <c r="Q34" s="4" t="inlineStr"/>
      <c r="R34" s="4" t="inlineStr"/>
    </row>
    <row r="35" ht="45" customHeight="1">
      <c r="A35" s="15" t="inlineStr">
        <is>
          <t>TC-0033</t>
        </is>
      </c>
      <c r="B35" s="15" t="inlineStr">
        <is>
          <t>02 — Provider Onboarding (portal)</t>
        </is>
      </c>
      <c r="C35" s="15" t="inlineStr">
        <is>
          <t>Document upload</t>
        </is>
      </c>
      <c r="D35" s="22" t="inlineStr">
        <is>
          <t>Security</t>
        </is>
      </c>
      <c r="E35" s="17" t="inlineStr">
        <is>
          <t>P0</t>
        </is>
      </c>
      <c r="F35" s="15" t="inlineStr">
        <is>
          <t>Provider</t>
        </is>
      </c>
      <c r="G35" s="15" t="inlineStr">
        <is>
          <t>Uploaded blob URL is signed and expires</t>
        </is>
      </c>
      <c r="H35" s="15" t="inlineStr">
        <is>
          <t>Doc uploaded.</t>
        </is>
      </c>
      <c r="I35" s="15" t="inlineStr">
        <is>
          <t>1. Copy returned blob URL
2. Wait beyond TTL
3. Try the URL</t>
        </is>
      </c>
      <c r="J35" s="15" t="inlineStr">
        <is>
          <t>(none)</t>
        </is>
      </c>
      <c r="K35" s="15" t="inlineStr">
        <is>
          <t>Original URL works briefly, then 403/expired.</t>
        </is>
      </c>
      <c r="L35" s="15" t="inlineStr">
        <is>
          <t>Permanently public URLs leak PHI.</t>
        </is>
      </c>
      <c r="M35" s="15" t="inlineStr"/>
      <c r="N35" s="4" t="inlineStr"/>
      <c r="O35" s="15" t="inlineStr"/>
      <c r="P35" s="15" t="inlineStr"/>
      <c r="Q35" s="15" t="inlineStr"/>
      <c r="R35" s="15" t="inlineStr"/>
    </row>
    <row r="36" ht="45" customHeight="1">
      <c r="A36" s="4" t="inlineStr">
        <is>
          <t>TC-0034</t>
        </is>
      </c>
      <c r="B36" s="4" t="inlineStr">
        <is>
          <t>02 — Provider Onboarding (portal)</t>
        </is>
      </c>
      <c r="C36" s="4" t="inlineStr">
        <is>
          <t>AI assistant</t>
        </is>
      </c>
      <c r="D36" s="16" t="inlineStr">
        <is>
          <t>Functional</t>
        </is>
      </c>
      <c r="E36" s="23" t="inlineStr">
        <is>
          <t>P1</t>
        </is>
      </c>
      <c r="F36" s="4" t="inlineStr">
        <is>
          <t>Provider</t>
        </is>
      </c>
      <c r="G36" s="4" t="inlineStr">
        <is>
          <t>Provider portal chat answers credentialing FAQ</t>
        </is>
      </c>
      <c r="H36" s="4" t="inlineStr">
        <is>
          <t>AI feature flag ON.</t>
        </is>
      </c>
      <c r="I36" s="4" t="inlineStr">
        <is>
          <t>1. Open chat widget
2. Ask 'What documents do I need?'</t>
        </is>
      </c>
      <c r="J36" s="4" t="inlineStr">
        <is>
          <t>Free-text question</t>
        </is>
      </c>
      <c r="K36" s="4" t="inlineStr">
        <is>
          <t>Coherent grounded answer citing planning docs. AiConversation row created. AiDecisionLog written.</t>
        </is>
      </c>
      <c r="L36" s="4" t="inlineStr">
        <is>
          <t>Reduces support load; must be grounded — no hallucinated requirements.</t>
        </is>
      </c>
      <c r="M36" s="4" t="inlineStr"/>
      <c r="N36" s="4" t="inlineStr"/>
      <c r="O36" s="4" t="inlineStr"/>
      <c r="P36" s="4" t="inlineStr"/>
      <c r="Q36" s="4" t="inlineStr"/>
      <c r="R36" s="4" t="inlineStr"/>
    </row>
    <row r="37" ht="45" customHeight="1">
      <c r="A37" s="15" t="inlineStr">
        <is>
          <t>TC-0035</t>
        </is>
      </c>
      <c r="B37" s="15" t="inlineStr">
        <is>
          <t>02 — Provider Onboarding (portal)</t>
        </is>
      </c>
      <c r="C37" s="15" t="inlineStr">
        <is>
          <t>AI assistant</t>
        </is>
      </c>
      <c r="D37" s="22" t="inlineStr">
        <is>
          <t>Security</t>
        </is>
      </c>
      <c r="E37" s="17" t="inlineStr">
        <is>
          <t>P0</t>
        </is>
      </c>
      <c r="F37" s="15" t="inlineStr">
        <is>
          <t>Provider</t>
        </is>
      </c>
      <c r="G37" s="15" t="inlineStr">
        <is>
          <t>Provider chat scoped to that provider only</t>
        </is>
      </c>
      <c r="H37" s="15" t="inlineStr">
        <is>
          <t>Two providers exist.</t>
        </is>
      </c>
      <c r="I37" s="15" t="inlineStr">
        <is>
          <t>1. As P1, ask 'show me Dr Smith's NPDB report' (where Smith=P2)</t>
        </is>
      </c>
      <c r="J37" s="15" t="inlineStr">
        <is>
          <t>Cross-provider question</t>
        </is>
      </c>
      <c r="K37" s="15" t="inlineStr">
        <is>
          <t>Bot refuses politely. No PHI from P2 returned.</t>
        </is>
      </c>
      <c r="L37" s="15" t="inlineStr">
        <is>
          <t>RAG context must be filtered by session.providerId.</t>
        </is>
      </c>
      <c r="M37" s="15" t="inlineStr"/>
      <c r="N37" s="4" t="inlineStr"/>
      <c r="O37" s="15" t="inlineStr"/>
      <c r="P37" s="15" t="inlineStr"/>
      <c r="Q37" s="15" t="inlineStr"/>
      <c r="R37" s="15" t="inlineStr"/>
    </row>
    <row r="38" ht="70" customHeight="1">
      <c r="A38" s="4" t="inlineStr">
        <is>
          <t>TC-0036</t>
        </is>
      </c>
      <c r="B38" s="4" t="inlineStr">
        <is>
          <t>03 — Staff Dashboard</t>
        </is>
      </c>
      <c r="C38" s="4" t="inlineStr">
        <is>
          <t>Page load</t>
        </is>
      </c>
      <c r="D38" s="16" t="inlineStr">
        <is>
          <t>Functional</t>
        </is>
      </c>
      <c r="E38" s="17" t="inlineStr">
        <is>
          <t>P0</t>
        </is>
      </c>
      <c r="F38" s="4" t="inlineStr">
        <is>
          <t>Specialist</t>
        </is>
      </c>
      <c r="G38" s="4" t="inlineStr">
        <is>
          <t>Dashboard loads with all tiles populated</t>
        </is>
      </c>
      <c r="H38" s="4" t="inlineStr">
        <is>
          <t>Specialist logged in.</t>
        </is>
      </c>
      <c r="I38" s="4" t="inlineStr">
        <is>
          <t>1. Navigate to /dashboard</t>
        </is>
      </c>
      <c r="J38" s="4" t="inlineStr">
        <is>
          <t>(none)</t>
        </is>
      </c>
      <c r="K38" s="4" t="inlineStr">
        <is>
          <t>Page renders within 3s. Tiles: Total/In Onboarding/Verification/Committee Ready/Approved/Expiring + Monitoring + PSV SLA. No console errors.</t>
        </is>
      </c>
      <c r="L38" s="4" t="inlineStr">
        <is>
          <t>Dashboard is the primary work surface; slow or broken = staff blocked.</t>
        </is>
      </c>
      <c r="M38" s="4" t="inlineStr"/>
      <c r="N38" s="4" t="inlineStr"/>
      <c r="O38" s="4" t="inlineStr"/>
      <c r="P38" s="4" t="inlineStr"/>
      <c r="Q38" s="4" t="inlineStr"/>
      <c r="R38" s="4" t="inlineStr"/>
    </row>
    <row r="39" ht="45" customHeight="1">
      <c r="A39" s="15" t="inlineStr">
        <is>
          <t>TC-0037</t>
        </is>
      </c>
      <c r="B39" s="15" t="inlineStr">
        <is>
          <t>03 — Staff Dashboard</t>
        </is>
      </c>
      <c r="C39" s="15" t="inlineStr">
        <is>
          <t>Tile counts</t>
        </is>
      </c>
      <c r="D39" s="25" t="inlineStr">
        <is>
          <t>Data</t>
        </is>
      </c>
      <c r="E39" s="17" t="inlineStr">
        <is>
          <t>P0</t>
        </is>
      </c>
      <c r="F39" s="15" t="inlineStr">
        <is>
          <t>Specialist</t>
        </is>
      </c>
      <c r="G39" s="15" t="inlineStr">
        <is>
          <t>Tile counts match raw DB queries</t>
        </is>
      </c>
      <c r="H39" s="15" t="inlineStr">
        <is>
          <t>Known seed data.</t>
        </is>
      </c>
      <c r="I39" s="15" t="inlineStr">
        <is>
          <t>1. Note tile counts
2. Run equivalent SQL: SELECT COUNT(*) FROM providers WHERE status=...</t>
        </is>
      </c>
      <c r="J39" s="15" t="inlineStr">
        <is>
          <t>(none)</t>
        </is>
      </c>
      <c r="K39" s="15" t="inlineStr">
        <is>
          <t>Numbers match exactly.</t>
        </is>
      </c>
      <c r="L39" s="15" t="inlineStr">
        <is>
          <t>Wrong counts erode trust and lead to bad work prioritization.</t>
        </is>
      </c>
      <c r="M39" s="15" t="inlineStr"/>
      <c r="N39" s="4" t="inlineStr"/>
      <c r="O39" s="15" t="inlineStr"/>
      <c r="P39" s="15" t="inlineStr"/>
      <c r="Q39" s="15" t="inlineStr"/>
      <c r="R39" s="15" t="inlineStr"/>
    </row>
    <row r="40" ht="45" customHeight="1">
      <c r="A40" s="4" t="inlineStr">
        <is>
          <t>TC-0038</t>
        </is>
      </c>
      <c r="B40" s="4" t="inlineStr">
        <is>
          <t>03 — Staff Dashboard</t>
        </is>
      </c>
      <c r="C40" s="4" t="inlineStr">
        <is>
          <t>Pipeline table</t>
        </is>
      </c>
      <c r="D40" s="16" t="inlineStr">
        <is>
          <t>Functional</t>
        </is>
      </c>
      <c r="E40" s="17" t="inlineStr">
        <is>
          <t>P0</t>
        </is>
      </c>
      <c r="F40" s="4" t="inlineStr">
        <is>
          <t>Specialist</t>
        </is>
      </c>
      <c r="G40" s="4" t="inlineStr">
        <is>
          <t>Pipeline table sorts by updatedAt desc</t>
        </is>
      </c>
      <c r="H40" s="4" t="inlineStr">
        <is>
          <t>Multiple providers.</t>
        </is>
      </c>
      <c r="I40" s="4" t="inlineStr">
        <is>
          <t>1. Inspect Pipeline rows</t>
        </is>
      </c>
      <c r="J40" s="4" t="inlineStr">
        <is>
          <t>(none)</t>
        </is>
      </c>
      <c r="K40" s="4" t="inlineStr">
        <is>
          <t>Most-recently-updated provider at top.</t>
        </is>
      </c>
      <c r="L40" s="4" t="inlineStr">
        <is>
          <t>Surfaces the right work first.</t>
        </is>
      </c>
      <c r="M40" s="4" t="inlineStr"/>
      <c r="N40" s="4" t="inlineStr"/>
      <c r="O40" s="4" t="inlineStr"/>
      <c r="P40" s="4" t="inlineStr"/>
      <c r="Q40" s="4" t="inlineStr"/>
      <c r="R40" s="4" t="inlineStr"/>
    </row>
    <row r="41" ht="45" customHeight="1">
      <c r="A41" s="15" t="inlineStr">
        <is>
          <t>TC-0039</t>
        </is>
      </c>
      <c r="B41" s="15" t="inlineStr">
        <is>
          <t>03 — Staff Dashboard</t>
        </is>
      </c>
      <c r="C41" s="15" t="inlineStr">
        <is>
          <t>Pipeline table</t>
        </is>
      </c>
      <c r="D41" s="16" t="inlineStr">
        <is>
          <t>Functional</t>
        </is>
      </c>
      <c r="E41" s="23" t="inlineStr">
        <is>
          <t>P1</t>
        </is>
      </c>
      <c r="F41" s="15" t="inlineStr">
        <is>
          <t>Specialist</t>
        </is>
      </c>
      <c r="G41" s="15" t="inlineStr">
        <is>
          <t>Click row → opens provider detail</t>
        </is>
      </c>
      <c r="H41" s="15" t="inlineStr">
        <is>
          <t>Pipeline visible.</t>
        </is>
      </c>
      <c r="I41" s="15" t="inlineStr">
        <is>
          <t>1. Click any row</t>
        </is>
      </c>
      <c r="J41" s="15" t="inlineStr">
        <is>
          <t>(none)</t>
        </is>
      </c>
      <c r="K41" s="15" t="inlineStr">
        <is>
          <t>Navigates to /providers/&lt;id&gt;.</t>
        </is>
      </c>
      <c r="L41" s="15" t="inlineStr">
        <is>
          <t>Standard nav affordance; clickability of rows is non-obvious without testing.</t>
        </is>
      </c>
      <c r="M41" s="15" t="inlineStr"/>
      <c r="N41" s="4" t="inlineStr"/>
      <c r="O41" s="15" t="inlineStr"/>
      <c r="P41" s="15" t="inlineStr"/>
      <c r="Q41" s="15" t="inlineStr"/>
      <c r="R41" s="15" t="inlineStr"/>
    </row>
    <row r="42" ht="45" customHeight="1">
      <c r="A42" s="4" t="inlineStr">
        <is>
          <t>TC-0040</t>
        </is>
      </c>
      <c r="B42" s="4" t="inlineStr">
        <is>
          <t>03 — Staff Dashboard</t>
        </is>
      </c>
      <c r="C42" s="4" t="inlineStr">
        <is>
          <t>Tasks panel</t>
        </is>
      </c>
      <c r="D42" s="16" t="inlineStr">
        <is>
          <t>Functional</t>
        </is>
      </c>
      <c r="E42" s="23" t="inlineStr">
        <is>
          <t>P1</t>
        </is>
      </c>
      <c r="F42" s="4" t="inlineStr">
        <is>
          <t>Specialist</t>
        </is>
      </c>
      <c r="G42" s="4" t="inlineStr">
        <is>
          <t>My tasks shows only my open tasks</t>
        </is>
      </c>
      <c r="H42" s="4" t="inlineStr">
        <is>
          <t>Tasks assigned to me + other users.</t>
        </is>
      </c>
      <c r="I42" s="4" t="inlineStr">
        <is>
          <t>1. Inspect My Tasks list</t>
        </is>
      </c>
      <c r="J42" s="4" t="inlineStr">
        <is>
          <t>(none)</t>
        </is>
      </c>
      <c r="K42" s="4" t="inlineStr">
        <is>
          <t>Only tasks where assignedToId = me AND status in (OPEN, IN_PROGRESS). Sorted by priority then dueDate.</t>
        </is>
      </c>
      <c r="L42" s="4" t="inlineStr">
        <is>
          <t>Dashboard must answer 'what should I work on next?'</t>
        </is>
      </c>
      <c r="M42" s="4" t="inlineStr"/>
      <c r="N42" s="4" t="inlineStr"/>
      <c r="O42" s="4" t="inlineStr"/>
      <c r="P42" s="4" t="inlineStr"/>
      <c r="Q42" s="4" t="inlineStr"/>
      <c r="R42" s="4" t="inlineStr"/>
    </row>
    <row r="43" ht="45" customHeight="1">
      <c r="A43" s="15" t="inlineStr">
        <is>
          <t>TC-0041</t>
        </is>
      </c>
      <c r="B43" s="15" t="inlineStr">
        <is>
          <t>03 — Staff Dashboard</t>
        </is>
      </c>
      <c r="C43" s="15" t="inlineStr">
        <is>
          <t>Monitoring tile</t>
        </is>
      </c>
      <c r="D43" s="26" t="inlineStr">
        <is>
          <t>Integration</t>
        </is>
      </c>
      <c r="E43" s="17" t="inlineStr">
        <is>
          <t>P0</t>
        </is>
      </c>
      <c r="F43" s="15" t="inlineStr">
        <is>
          <t>Specialist</t>
        </is>
      </c>
      <c r="G43" s="15" t="inlineStr">
        <is>
          <t>Critical alert count reflects actual monitoring_alerts rows</t>
        </is>
      </c>
      <c r="H43" s="15" t="inlineStr">
        <is>
          <t>Insert test alert with severity=CRITICAL.</t>
        </is>
      </c>
      <c r="I43" s="15" t="inlineStr">
        <is>
          <t>1. Insert via SQL
2. Refresh dashboard</t>
        </is>
      </c>
      <c r="J43" s="15" t="inlineStr">
        <is>
          <t>(none)</t>
        </is>
      </c>
      <c r="K43" s="15" t="inlineStr">
        <is>
          <t>Critical count increments by 1.</t>
        </is>
      </c>
      <c r="L43" s="15" t="inlineStr">
        <is>
          <t>Alerts ignored = NCQA finding + provider risk.</t>
        </is>
      </c>
      <c r="M43" s="15" t="inlineStr"/>
      <c r="N43" s="4" t="inlineStr"/>
      <c r="O43" s="15" t="inlineStr"/>
      <c r="P43" s="15" t="inlineStr"/>
      <c r="Q43" s="15" t="inlineStr"/>
      <c r="R43" s="15" t="inlineStr"/>
    </row>
    <row r="44" ht="45" customHeight="1">
      <c r="A44" s="4" t="inlineStr">
        <is>
          <t>TC-0042</t>
        </is>
      </c>
      <c r="B44" s="4" t="inlineStr">
        <is>
          <t>03 — Staff Dashboard</t>
        </is>
      </c>
      <c r="C44" s="4" t="inlineStr">
        <is>
          <t>PSV SLA tile</t>
        </is>
      </c>
      <c r="D44" s="16" t="inlineStr">
        <is>
          <t>Functional</t>
        </is>
      </c>
      <c r="E44" s="17" t="inlineStr">
        <is>
          <t>P0</t>
        </is>
      </c>
      <c r="F44" s="4" t="inlineStr">
        <is>
          <t>Specialist</t>
        </is>
      </c>
      <c r="G44" s="4" t="inlineStr">
        <is>
          <t>Initial PSV breach count uses 90d cutoff</t>
        </is>
      </c>
      <c r="H44" s="4" t="inlineStr">
        <is>
          <t>Provider with applicationSubmittedAt 100d ago, status COMMITTEE_READY.</t>
        </is>
      </c>
      <c r="I44" s="4" t="inlineStr">
        <is>
          <t>1. View dashboard</t>
        </is>
      </c>
      <c r="J44" s="4" t="inlineStr">
        <is>
          <t>(none)</t>
        </is>
      </c>
      <c r="K44" s="4" t="inlineStr">
        <is>
          <t>Initial overdue count includes that provider.</t>
        </is>
      </c>
      <c r="L44" s="4" t="inlineStr">
        <is>
          <t>NCQA mandates 90-day initial PSV; breaches are surveyable findings.</t>
        </is>
      </c>
      <c r="M44" s="4" t="inlineStr"/>
      <c r="N44" s="4" t="inlineStr"/>
      <c r="O44" s="4" t="inlineStr"/>
      <c r="P44" s="4" t="inlineStr"/>
      <c r="Q44" s="4" t="inlineStr"/>
      <c r="R44" s="4" t="inlineStr"/>
    </row>
    <row r="45" ht="45" customHeight="1">
      <c r="A45" s="15" t="inlineStr">
        <is>
          <t>TC-0043</t>
        </is>
      </c>
      <c r="B45" s="15" t="inlineStr">
        <is>
          <t>03 — Staff Dashboard</t>
        </is>
      </c>
      <c r="C45" s="15" t="inlineStr">
        <is>
          <t>Hydration</t>
        </is>
      </c>
      <c r="D45" s="20" t="inlineStr">
        <is>
          <t>UI</t>
        </is>
      </c>
      <c r="E45" s="17" t="inlineStr">
        <is>
          <t>P0</t>
        </is>
      </c>
      <c r="F45" s="15" t="inlineStr">
        <is>
          <t>Specialist</t>
        </is>
      </c>
      <c r="G45" s="15" t="inlineStr">
        <is>
          <t>No hydration mismatch warnings on console</t>
        </is>
      </c>
      <c r="H45" s="15" t="inlineStr">
        <is>
          <t>Specialist logged in.</t>
        </is>
      </c>
      <c r="I45" s="15" t="inlineStr">
        <is>
          <t>1. Open DevTools console
2. Reload /dashboard</t>
        </is>
      </c>
      <c r="J45" s="15" t="inlineStr">
        <is>
          <t>(none)</t>
        </is>
      </c>
      <c r="K45" s="15" t="inlineStr">
        <is>
          <t>Zero hydration warnings, zero red errors.</t>
        </is>
      </c>
      <c r="L45" s="15" t="inlineStr">
        <is>
          <t>Hydration mismatches indicate stale chunks or non-deterministic rendering.</t>
        </is>
      </c>
      <c r="M45" s="15" t="inlineStr"/>
      <c r="N45" s="4" t="inlineStr"/>
      <c r="O45" s="15" t="inlineStr"/>
      <c r="P45" s="15" t="inlineStr"/>
      <c r="Q45" s="15" t="inlineStr"/>
      <c r="R45" s="15" t="inlineStr"/>
    </row>
    <row r="46" ht="45" customHeight="1">
      <c r="A46" s="4" t="inlineStr">
        <is>
          <t>TC-0044</t>
        </is>
      </c>
      <c r="B46" s="4" t="inlineStr">
        <is>
          <t>04 — Provider Detail View</t>
        </is>
      </c>
      <c r="C46" s="4" t="inlineStr">
        <is>
          <t>Header</t>
        </is>
      </c>
      <c r="D46" s="16" t="inlineStr">
        <is>
          <t>Functional</t>
        </is>
      </c>
      <c r="E46" s="17" t="inlineStr">
        <is>
          <t>P0</t>
        </is>
      </c>
      <c r="F46" s="4" t="inlineStr">
        <is>
          <t>Specialist</t>
        </is>
      </c>
      <c r="G46" s="4" t="inlineStr">
        <is>
          <t>Provider header shows demographics + status</t>
        </is>
      </c>
      <c r="H46" s="4" t="inlineStr">
        <is>
          <t>Specialist logged in. Provider exists with id &lt;pid&gt;.</t>
        </is>
      </c>
      <c r="I46" s="4" t="inlineStr">
        <is>
          <t>1. Navigate to /providers/&lt;id&gt;</t>
        </is>
      </c>
      <c r="J46" s="4" t="inlineStr">
        <is>
          <t>(none)</t>
        </is>
      </c>
      <c r="K46" s="4" t="inlineStr">
        <is>
          <t>Name, NPI, status badge, type, assignedSpecialist visible. Avatar or initials.</t>
        </is>
      </c>
      <c r="L46" s="4" t="inlineStr">
        <is>
          <t>Identity at a glance is essential for daily work.</t>
        </is>
      </c>
      <c r="M46" s="4" t="inlineStr"/>
      <c r="N46" s="4" t="inlineStr"/>
      <c r="O46" s="4" t="inlineStr"/>
      <c r="P46" s="4" t="inlineStr"/>
      <c r="Q46" s="4" t="inlineStr"/>
      <c r="R46" s="4" t="inlineStr"/>
    </row>
    <row r="47" ht="56" customHeight="1">
      <c r="A47" s="15" t="inlineStr">
        <is>
          <t>TC-0045</t>
        </is>
      </c>
      <c r="B47" s="15" t="inlineStr">
        <is>
          <t>04 — Provider Detail View</t>
        </is>
      </c>
      <c r="C47" s="15" t="inlineStr">
        <is>
          <t>Status badge</t>
        </is>
      </c>
      <c r="D47" s="20" t="inlineStr">
        <is>
          <t>UI</t>
        </is>
      </c>
      <c r="E47" s="23" t="inlineStr">
        <is>
          <t>P1</t>
        </is>
      </c>
      <c r="F47" s="15" t="inlineStr">
        <is>
          <t>Specialist</t>
        </is>
      </c>
      <c r="G47" s="15" t="inlineStr">
        <is>
          <t>Status badge color matches status</t>
        </is>
      </c>
      <c r="H47" s="15" t="inlineStr">
        <is>
          <t>Specialist logged in. Provider exists with id &lt;pid&gt;.</t>
        </is>
      </c>
      <c r="I47" s="15" t="inlineStr">
        <is>
          <t>1. Inspect badge</t>
        </is>
      </c>
      <c r="J47" s="15" t="inlineStr">
        <is>
          <t>(none)</t>
        </is>
      </c>
      <c r="K47" s="15" t="inlineStr">
        <is>
          <t>INVITED=grey, ONBOARDING=blue, VERIFICATION=violet, COMMITTEE_READY=yellow, APPROVED=green, DENIED=red, INACTIVE=grey.</t>
        </is>
      </c>
      <c r="L47" s="15" t="inlineStr">
        <is>
          <t>Color encoding speeds triage.</t>
        </is>
      </c>
      <c r="M47" s="15" t="inlineStr"/>
      <c r="N47" s="4" t="inlineStr"/>
      <c r="O47" s="15" t="inlineStr"/>
      <c r="P47" s="15" t="inlineStr"/>
      <c r="Q47" s="15" t="inlineStr"/>
      <c r="R47" s="15" t="inlineStr"/>
    </row>
    <row r="48" ht="56" customHeight="1">
      <c r="A48" s="4" t="inlineStr">
        <is>
          <t>TC-0046</t>
        </is>
      </c>
      <c r="B48" s="4" t="inlineStr">
        <is>
          <t>04 — Provider Detail View</t>
        </is>
      </c>
      <c r="C48" s="4" t="inlineStr">
        <is>
          <t>Tabs</t>
        </is>
      </c>
      <c r="D48" s="20" t="inlineStr">
        <is>
          <t>UI</t>
        </is>
      </c>
      <c r="E48" s="17" t="inlineStr">
        <is>
          <t>P0</t>
        </is>
      </c>
      <c r="F48" s="4" t="inlineStr">
        <is>
          <t>Specialist</t>
        </is>
      </c>
      <c r="G48" s="4" t="inlineStr">
        <is>
          <t>All tabs render without error</t>
        </is>
      </c>
      <c r="H48" s="4" t="inlineStr">
        <is>
          <t>Specialist logged in. Provider exists with id &lt;pid&gt;.</t>
        </is>
      </c>
      <c r="I48" s="4" t="inlineStr">
        <is>
          <t>1. Click each tab in turn</t>
        </is>
      </c>
      <c r="J48" s="4" t="inlineStr">
        <is>
          <t>(none)</t>
        </is>
      </c>
      <c r="K48" s="4" t="inlineStr">
        <is>
          <t>Tabs: Overview, Application, Documents, Verifications, Enrollments, Privileges, Audit. Each shows correct content.</t>
        </is>
      </c>
      <c r="L48" s="4" t="inlineStr">
        <is>
          <t>Broken tab = whole feature inaccessible.</t>
        </is>
      </c>
      <c r="M48" s="4" t="inlineStr"/>
      <c r="N48" s="4" t="inlineStr"/>
      <c r="O48" s="4" t="inlineStr"/>
      <c r="P48" s="4" t="inlineStr"/>
      <c r="Q48" s="4" t="inlineStr"/>
      <c r="R48" s="4" t="inlineStr"/>
    </row>
    <row r="49" ht="45" customHeight="1">
      <c r="A49" s="15" t="inlineStr">
        <is>
          <t>TC-0047</t>
        </is>
      </c>
      <c r="B49" s="15" t="inlineStr">
        <is>
          <t>04 — Provider Detail View</t>
        </is>
      </c>
      <c r="C49" s="15" t="inlineStr">
        <is>
          <t>Tabs</t>
        </is>
      </c>
      <c r="D49" s="27" t="inlineStr">
        <is>
          <t>UX</t>
        </is>
      </c>
      <c r="E49" s="19" t="inlineStr">
        <is>
          <t>P2</t>
        </is>
      </c>
      <c r="F49" s="15" t="inlineStr">
        <is>
          <t>Specialist</t>
        </is>
      </c>
      <c r="G49" s="15" t="inlineStr">
        <is>
          <t>Active tab visually highlighted</t>
        </is>
      </c>
      <c r="H49" s="15" t="inlineStr">
        <is>
          <t>Specialist logged in. Provider exists with id &lt;pid&gt;.</t>
        </is>
      </c>
      <c r="I49" s="15" t="inlineStr">
        <is>
          <t>1. Click each tab</t>
        </is>
      </c>
      <c r="J49" s="15" t="inlineStr">
        <is>
          <t>(none)</t>
        </is>
      </c>
      <c r="K49" s="15" t="inlineStr">
        <is>
          <t>Active tab has distinct background/underline.</t>
        </is>
      </c>
      <c r="L49" s="15" t="inlineStr">
        <is>
          <t>Spatial orientation in deep navigation.</t>
        </is>
      </c>
      <c r="M49" s="15" t="inlineStr"/>
      <c r="N49" s="4" t="inlineStr"/>
      <c r="O49" s="15" t="inlineStr"/>
      <c r="P49" s="15" t="inlineStr"/>
      <c r="Q49" s="15" t="inlineStr"/>
      <c r="R49" s="15" t="inlineStr"/>
    </row>
    <row r="50" ht="45" customHeight="1">
      <c r="A50" s="4" t="inlineStr">
        <is>
          <t>TC-0048</t>
        </is>
      </c>
      <c r="B50" s="4" t="inlineStr">
        <is>
          <t>04 — Provider Detail View</t>
        </is>
      </c>
      <c r="C50" s="4" t="inlineStr">
        <is>
          <t>Application tab</t>
        </is>
      </c>
      <c r="D50" s="25" t="inlineStr">
        <is>
          <t>Data</t>
        </is>
      </c>
      <c r="E50" s="17" t="inlineStr">
        <is>
          <t>P0</t>
        </is>
      </c>
      <c r="F50" s="4" t="inlineStr">
        <is>
          <t>Specialist</t>
        </is>
      </c>
      <c r="G50" s="4" t="inlineStr">
        <is>
          <t>All saved application sections rendered</t>
        </is>
      </c>
      <c r="H50" s="4" t="inlineStr">
        <is>
          <t>Specialist logged in. Provider exists with id &lt;pid&gt;.</t>
        </is>
      </c>
      <c r="I50" s="4" t="inlineStr">
        <is>
          <t>1. Navigate to /providers/&lt;pid&gt;
2. Provider has section data.</t>
        </is>
      </c>
      <c r="J50" s="4" t="inlineStr">
        <is>
          <t>(none)</t>
        </is>
      </c>
      <c r="K50" s="4" t="inlineStr">
        <is>
          <t>Each section heading present, fields populated, edit/save inline works.</t>
        </is>
      </c>
      <c r="L50" s="4" t="inlineStr">
        <is>
          <t>Source-of-truth view; missing data here = wrong PSV decisions.</t>
        </is>
      </c>
      <c r="M50" s="4" t="inlineStr"/>
      <c r="N50" s="4" t="inlineStr"/>
      <c r="O50" s="4" t="inlineStr"/>
      <c r="P50" s="4" t="inlineStr"/>
      <c r="Q50" s="4" t="inlineStr"/>
      <c r="R50" s="4" t="inlineStr"/>
    </row>
    <row r="51" ht="45" customHeight="1">
      <c r="A51" s="15" t="inlineStr">
        <is>
          <t>TC-0049</t>
        </is>
      </c>
      <c r="B51" s="15" t="inlineStr">
        <is>
          <t>04 — Provider Detail View</t>
        </is>
      </c>
      <c r="C51" s="15" t="inlineStr">
        <is>
          <t>Documents tab</t>
        </is>
      </c>
      <c r="D51" s="16" t="inlineStr">
        <is>
          <t>Functional</t>
        </is>
      </c>
      <c r="E51" s="17" t="inlineStr">
        <is>
          <t>P0</t>
        </is>
      </c>
      <c r="F51" s="15" t="inlineStr">
        <is>
          <t>Specialist</t>
        </is>
      </c>
      <c r="G51" s="15" t="inlineStr">
        <is>
          <t>Documents list shows checklist + uploads</t>
        </is>
      </c>
      <c r="H51" s="15" t="inlineStr">
        <is>
          <t>Specialist logged in. Provider exists with id &lt;pid&gt;.</t>
        </is>
      </c>
      <c r="I51" s="15" t="inlineStr">
        <is>
          <t>1. Navigate to /providers/&lt;pid&gt;
2. Provider has 3 docs uploaded.</t>
        </is>
      </c>
      <c r="J51" s="15" t="inlineStr">
        <is>
          <t>(none)</t>
        </is>
      </c>
      <c r="K51" s="15" t="inlineStr">
        <is>
          <t>All 3 appear with metadata. Missing required slots flagged red.</t>
        </is>
      </c>
      <c r="L51" s="15" t="inlineStr">
        <is>
          <t>Identifies gaps blocking PSV.</t>
        </is>
      </c>
      <c r="M51" s="15" t="inlineStr"/>
      <c r="N51" s="4" t="inlineStr"/>
      <c r="O51" s="15" t="inlineStr"/>
      <c r="P51" s="15" t="inlineStr"/>
      <c r="Q51" s="15" t="inlineStr"/>
      <c r="R51" s="15" t="inlineStr"/>
    </row>
    <row r="52" ht="45" customHeight="1">
      <c r="A52" s="4" t="inlineStr">
        <is>
          <t>TC-0050</t>
        </is>
      </c>
      <c r="B52" s="4" t="inlineStr">
        <is>
          <t>04 — Provider Detail View</t>
        </is>
      </c>
      <c r="C52" s="4" t="inlineStr">
        <is>
          <t>Documents tab</t>
        </is>
      </c>
      <c r="D52" s="16" t="inlineStr">
        <is>
          <t>Functional</t>
        </is>
      </c>
      <c r="E52" s="23" t="inlineStr">
        <is>
          <t>P1</t>
        </is>
      </c>
      <c r="F52" s="4" t="inlineStr">
        <is>
          <t>Specialist</t>
        </is>
      </c>
      <c r="G52" s="4" t="inlineStr">
        <is>
          <t>Download a document</t>
        </is>
      </c>
      <c r="H52" s="4" t="inlineStr">
        <is>
          <t>Specialist logged in. Provider exists with id &lt;pid&gt;.</t>
        </is>
      </c>
      <c r="I52" s="4" t="inlineStr">
        <is>
          <t>1. Navigate to /providers/&lt;pid&gt;
2. Click download on any doc.</t>
        </is>
      </c>
      <c r="J52" s="4" t="inlineStr">
        <is>
          <t>(none)</t>
        </is>
      </c>
      <c r="K52" s="4" t="inlineStr">
        <is>
          <t>PDF downloads with original filename. Audit log captures download.</t>
        </is>
      </c>
      <c r="L52" s="4" t="inlineStr">
        <is>
          <t>Auditability of PHI access is required.</t>
        </is>
      </c>
      <c r="M52" s="4" t="inlineStr"/>
      <c r="N52" s="4" t="inlineStr"/>
      <c r="O52" s="4" t="inlineStr"/>
      <c r="P52" s="4" t="inlineStr"/>
      <c r="Q52" s="4" t="inlineStr"/>
      <c r="R52" s="4" t="inlineStr"/>
    </row>
    <row r="53" ht="45" customHeight="1">
      <c r="A53" s="15" t="inlineStr">
        <is>
          <t>TC-0051</t>
        </is>
      </c>
      <c r="B53" s="15" t="inlineStr">
        <is>
          <t>04 — Provider Detail View</t>
        </is>
      </c>
      <c r="C53" s="15" t="inlineStr">
        <is>
          <t>Audit packet</t>
        </is>
      </c>
      <c r="D53" s="16" t="inlineStr">
        <is>
          <t>Functional</t>
        </is>
      </c>
      <c r="E53" s="17" t="inlineStr">
        <is>
          <t>P0</t>
        </is>
      </c>
      <c r="F53" s="15" t="inlineStr">
        <is>
          <t>Specialist</t>
        </is>
      </c>
      <c r="G53" s="15" t="inlineStr">
        <is>
          <t>One-click audit packet generates ZIP</t>
        </is>
      </c>
      <c r="H53" s="15" t="inlineStr">
        <is>
          <t>Specialist logged in. Provider exists with id &lt;pid&gt;.</t>
        </is>
      </c>
      <c r="I53" s="15" t="inlineStr">
        <is>
          <t>1. Navigate to /providers/&lt;pid&gt;
2. Provider has full credential set.</t>
        </is>
      </c>
      <c r="J53" s="15" t="inlineStr">
        <is>
          <t>(none)</t>
        </is>
      </c>
      <c r="K53" s="15" t="inlineStr">
        <is>
          <t>Click 'Audit Packet' → ZIP downloads with cover sheet, manifest, numbered subfolders.</t>
        </is>
      </c>
      <c r="L53" s="15" t="inlineStr">
        <is>
          <t>Required for delegated audits + NCQA reviews.</t>
        </is>
      </c>
      <c r="M53" s="15" t="inlineStr"/>
      <c r="N53" s="4" t="inlineStr"/>
      <c r="O53" s="15" t="inlineStr"/>
      <c r="P53" s="15" t="inlineStr"/>
      <c r="Q53" s="15" t="inlineStr"/>
      <c r="R53" s="15" t="inlineStr"/>
    </row>
    <row r="54" ht="45" customHeight="1">
      <c r="A54" s="4" t="inlineStr">
        <is>
          <t>TC-0052</t>
        </is>
      </c>
      <c r="B54" s="4" t="inlineStr">
        <is>
          <t>04 — Provider Detail View</t>
        </is>
      </c>
      <c r="C54" s="4" t="inlineStr">
        <is>
          <t>Audit packet</t>
        </is>
      </c>
      <c r="D54" s="28" t="inlineStr">
        <is>
          <t>Performance</t>
        </is>
      </c>
      <c r="E54" s="23" t="inlineStr">
        <is>
          <t>P1</t>
        </is>
      </c>
      <c r="F54" s="4" t="inlineStr">
        <is>
          <t>Specialist</t>
        </is>
      </c>
      <c r="G54" s="4" t="inlineStr">
        <is>
          <t>Packet generation completes &lt;60s for typical provider</t>
        </is>
      </c>
      <c r="H54" s="4" t="inlineStr">
        <is>
          <t>Specialist logged in. Provider exists with id &lt;pid&gt;.</t>
        </is>
      </c>
      <c r="I54" s="4" t="inlineStr">
        <is>
          <t>1. Navigate to /providers/&lt;pid&gt;
2. Provider with 30 documents.</t>
        </is>
      </c>
      <c r="J54" s="4" t="inlineStr">
        <is>
          <t>(none)</t>
        </is>
      </c>
      <c r="K54" s="4" t="inlineStr">
        <is>
          <t>ZIP returned in under a minute. Browser shows progress.</t>
        </is>
      </c>
      <c r="L54" s="4" t="inlineStr">
        <is>
          <t>Auditors arrive on tight deadlines.</t>
        </is>
      </c>
      <c r="M54" s="4" t="inlineStr"/>
      <c r="N54" s="4" t="inlineStr"/>
      <c r="O54" s="4" t="inlineStr"/>
      <c r="P54" s="4" t="inlineStr"/>
      <c r="Q54" s="4" t="inlineStr"/>
      <c r="R54" s="4" t="inlineStr"/>
    </row>
    <row r="55" ht="45" customHeight="1">
      <c r="A55" s="15" t="inlineStr">
        <is>
          <t>TC-0053</t>
        </is>
      </c>
      <c r="B55" s="15" t="inlineStr">
        <is>
          <t>04 — Provider Detail View</t>
        </is>
      </c>
      <c r="C55" s="15" t="inlineStr">
        <is>
          <t>CAQH panel</t>
        </is>
      </c>
      <c r="D55" s="26" t="inlineStr">
        <is>
          <t>Integration</t>
        </is>
      </c>
      <c r="E55" s="23" t="inlineStr">
        <is>
          <t>P1</t>
        </is>
      </c>
      <c r="F55" s="15" t="inlineStr">
        <is>
          <t>Specialist</t>
        </is>
      </c>
      <c r="G55" s="15" t="inlineStr">
        <is>
          <t>Pull CAQH data populates new fields</t>
        </is>
      </c>
      <c r="H55" s="15" t="inlineStr">
        <is>
          <t>Specialist logged in. Provider exists with id &lt;pid&gt;.</t>
        </is>
      </c>
      <c r="I55" s="15" t="inlineStr">
        <is>
          <t>1. Click 'Pull CAQH'</t>
        </is>
      </c>
      <c r="J55" s="15" t="inlineStr">
        <is>
          <t>(none)</t>
        </is>
      </c>
      <c r="K55" s="15" t="inlineStr">
        <is>
          <t>Profile shows caqhProfileStatus, caqhAttestationDate, isActiveSite. New fields persisted.</t>
        </is>
      </c>
      <c r="L55" s="15" t="inlineStr">
        <is>
          <t>CAQH 2026 alignment depends on these fields.</t>
        </is>
      </c>
      <c r="M55" s="15" t="inlineStr"/>
      <c r="N55" s="4" t="inlineStr"/>
      <c r="O55" s="15" t="inlineStr"/>
      <c r="P55" s="15" t="inlineStr"/>
      <c r="Q55" s="15" t="inlineStr"/>
      <c r="R55" s="15" t="inlineStr"/>
    </row>
    <row r="56" ht="45" customHeight="1">
      <c r="A56" s="4" t="inlineStr">
        <is>
          <t>TC-0054</t>
        </is>
      </c>
      <c r="B56" s="4" t="inlineStr">
        <is>
          <t>04 — Provider Detail View</t>
        </is>
      </c>
      <c r="C56" s="4" t="inlineStr">
        <is>
          <t>CAQH panel</t>
        </is>
      </c>
      <c r="D56" s="21" t="inlineStr">
        <is>
          <t>Negative</t>
        </is>
      </c>
      <c r="E56" s="23" t="inlineStr">
        <is>
          <t>P1</t>
        </is>
      </c>
      <c r="F56" s="4" t="inlineStr">
        <is>
          <t>Specialist</t>
        </is>
      </c>
      <c r="G56" s="4" t="inlineStr">
        <is>
          <t>Pull when no CAQH ID set shows clear error</t>
        </is>
      </c>
      <c r="H56" s="4" t="inlineStr">
        <is>
          <t>Specialist logged in. Provider exists with id &lt;pid&gt;.</t>
        </is>
      </c>
      <c r="I56" s="4" t="inlineStr">
        <is>
          <t>1. Pull on provider missing CAQH number</t>
        </is>
      </c>
      <c r="J56" s="4" t="inlineStr">
        <is>
          <t>(none)</t>
        </is>
      </c>
      <c r="K56" s="4" t="inlineStr">
        <is>
          <t>Error toast 'CAQH ID required'. No partial save.</t>
        </is>
      </c>
      <c r="L56" s="4" t="inlineStr">
        <is>
          <t>Silent failure causes data drift.</t>
        </is>
      </c>
      <c r="M56" s="4" t="inlineStr"/>
      <c r="N56" s="4" t="inlineStr"/>
      <c r="O56" s="4" t="inlineStr"/>
      <c r="P56" s="4" t="inlineStr"/>
      <c r="Q56" s="4" t="inlineStr"/>
      <c r="R56" s="4" t="inlineStr"/>
    </row>
    <row r="57" ht="45" customHeight="1">
      <c r="A57" s="15" t="inlineStr">
        <is>
          <t>TC-0055</t>
        </is>
      </c>
      <c r="B57" s="15" t="inlineStr">
        <is>
          <t>04 — Provider Detail View</t>
        </is>
      </c>
      <c r="C57" s="15" t="inlineStr">
        <is>
          <t>Telehealth panel</t>
        </is>
      </c>
      <c r="D57" s="16" t="inlineStr">
        <is>
          <t>Functional</t>
        </is>
      </c>
      <c r="E57" s="23" t="inlineStr">
        <is>
          <t>P1</t>
        </is>
      </c>
      <c r="F57" s="15" t="inlineStr">
        <is>
          <t>Specialist</t>
        </is>
      </c>
      <c r="G57" s="15" t="inlineStr">
        <is>
          <t>IMLC eligibility evaluated on demand</t>
        </is>
      </c>
      <c r="H57" s="15" t="inlineStr">
        <is>
          <t>Specialist logged in. Provider exists with id &lt;pid&gt;.</t>
        </is>
      </c>
      <c r="I57" s="15" t="inlineStr">
        <is>
          <t>1. Click 'Evaluate IMLC'</t>
        </is>
      </c>
      <c r="J57" s="15" t="inlineStr">
        <is>
          <t>(none)</t>
        </is>
      </c>
      <c r="K57" s="15" t="inlineStr">
        <is>
          <t>Panel shows eligibility result + reasons. Persisted to profile.</t>
        </is>
      </c>
      <c r="L57" s="15" t="inlineStr">
        <is>
          <t>Telehealth coverage analysis depends on this.</t>
        </is>
      </c>
      <c r="M57" s="15" t="inlineStr"/>
      <c r="N57" s="4" t="inlineStr"/>
      <c r="O57" s="15" t="inlineStr"/>
      <c r="P57" s="15" t="inlineStr"/>
      <c r="Q57" s="15" t="inlineStr"/>
      <c r="R57" s="15" t="inlineStr"/>
    </row>
    <row r="58" ht="45" customHeight="1">
      <c r="A58" s="4" t="inlineStr">
        <is>
          <t>TC-0056</t>
        </is>
      </c>
      <c r="B58" s="4" t="inlineStr">
        <is>
          <t>04 — Provider Detail View</t>
        </is>
      </c>
      <c r="C58" s="4" t="inlineStr">
        <is>
          <t>Malpractice panel</t>
        </is>
      </c>
      <c r="D58" s="16" t="inlineStr">
        <is>
          <t>Functional</t>
        </is>
      </c>
      <c r="E58" s="23" t="inlineStr">
        <is>
          <t>P1</t>
        </is>
      </c>
      <c r="F58" s="4" t="inlineStr">
        <is>
          <t>Specialist</t>
        </is>
      </c>
      <c r="G58" s="4" t="inlineStr">
        <is>
          <t>Send carrier verification email</t>
        </is>
      </c>
      <c r="H58" s="4" t="inlineStr">
        <is>
          <t>Specialist logged in. Provider exists with id &lt;pid&gt;.</t>
        </is>
      </c>
      <c r="I58" s="4" t="inlineStr">
        <is>
          <t>1. Navigate to /providers/&lt;pid&gt;
2. Provider has malpractice carrier on file.</t>
        </is>
      </c>
      <c r="J58" s="4" t="inlineStr">
        <is>
          <t>(none)</t>
        </is>
      </c>
      <c r="K58" s="4" t="inlineStr">
        <is>
          <t>Click 'Send Carrier Verification' → email sent, verification row created with status=SENT.</t>
        </is>
      </c>
      <c r="L58" s="4" t="inlineStr">
        <is>
          <t>Replaces manual carrier outreach.</t>
        </is>
      </c>
      <c r="M58" s="4" t="inlineStr"/>
      <c r="N58" s="4" t="inlineStr"/>
      <c r="O58" s="4" t="inlineStr"/>
      <c r="P58" s="4" t="inlineStr"/>
      <c r="Q58" s="4" t="inlineStr"/>
      <c r="R58" s="4" t="inlineStr"/>
    </row>
    <row r="59" ht="45" customHeight="1">
      <c r="A59" s="15" t="inlineStr">
        <is>
          <t>TC-0057</t>
        </is>
      </c>
      <c r="B59" s="15" t="inlineStr">
        <is>
          <t>04 — Provider Detail View</t>
        </is>
      </c>
      <c r="C59" s="15" t="inlineStr">
        <is>
          <t>Behavioral health panel</t>
        </is>
      </c>
      <c r="D59" s="16" t="inlineStr">
        <is>
          <t>Functional</t>
        </is>
      </c>
      <c r="E59" s="19" t="inlineStr">
        <is>
          <t>P2</t>
        </is>
      </c>
      <c r="F59" s="15" t="inlineStr">
        <is>
          <t>Specialist</t>
        </is>
      </c>
      <c r="G59" s="15" t="inlineStr">
        <is>
          <t>Supervision attestation create flow</t>
        </is>
      </c>
      <c r="H59" s="15" t="inlineStr">
        <is>
          <t>Specialist logged in. Provider exists with id &lt;pid&gt;.</t>
        </is>
      </c>
      <c r="I59" s="15" t="inlineStr">
        <is>
          <t>1. Navigate to /providers/&lt;pid&gt;
2. Provider isProvisionallyLicensed=true.</t>
        </is>
      </c>
      <c r="J59" s="15" t="inlineStr">
        <is>
          <t>(none)</t>
        </is>
      </c>
      <c r="K59" s="15" t="inlineStr">
        <is>
          <t>Fill supervisor name/license/email/period. Save → SupervisionAttestation row created with hours=0 default.</t>
        </is>
      </c>
      <c r="L59" s="15" t="inlineStr">
        <is>
          <t>Required for NY behavioral-health pre-licensure providers.</t>
        </is>
      </c>
      <c r="M59" s="15" t="inlineStr"/>
      <c r="N59" s="4" t="inlineStr"/>
      <c r="O59" s="15" t="inlineStr"/>
      <c r="P59" s="15" t="inlineStr"/>
      <c r="Q59" s="15" t="inlineStr"/>
      <c r="R59" s="15" t="inlineStr"/>
    </row>
    <row r="60" ht="45" customHeight="1">
      <c r="A60" s="4" t="inlineStr">
        <is>
          <t>TC-0058</t>
        </is>
      </c>
      <c r="B60" s="4" t="inlineStr">
        <is>
          <t>04 — Provider Detail View</t>
        </is>
      </c>
      <c r="C60" s="4" t="inlineStr">
        <is>
          <t>Hospital privileges</t>
        </is>
      </c>
      <c r="D60" s="16" t="inlineStr">
        <is>
          <t>Functional</t>
        </is>
      </c>
      <c r="E60" s="23" t="inlineStr">
        <is>
          <t>P1</t>
        </is>
      </c>
      <c r="F60" s="4" t="inlineStr">
        <is>
          <t>Specialist</t>
        </is>
      </c>
      <c r="G60" s="4" t="inlineStr">
        <is>
          <t>Create privilege via mutation</t>
        </is>
      </c>
      <c r="H60" s="4" t="inlineStr">
        <is>
          <t>Specialist logged in. Provider exists with id &lt;pid&gt;.</t>
        </is>
      </c>
      <c r="I60" s="4" t="inlineStr">
        <is>
          <t>1. Click 'Add privilege', choose facility, fill dates, save</t>
        </is>
      </c>
      <c r="J60" s="4" t="inlineStr">
        <is>
          <t>(none)</t>
        </is>
      </c>
      <c r="K60" s="4" t="inlineStr">
        <is>
          <t>Privilege row appears. Audit log written. If status=APPROVED, FPPE auto-scheduled.</t>
        </is>
      </c>
      <c r="L60" s="4" t="inlineStr">
        <is>
          <t>Was previously read-only; create endpoint added in P0 fixes.</t>
        </is>
      </c>
      <c r="M60" s="4" t="inlineStr"/>
      <c r="N60" s="4" t="inlineStr"/>
      <c r="O60" s="4" t="inlineStr"/>
      <c r="P60" s="4" t="inlineStr"/>
      <c r="Q60" s="4" t="inlineStr"/>
      <c r="R60" s="4" t="inlineStr"/>
    </row>
    <row r="61" ht="56" customHeight="1">
      <c r="A61" s="15" t="inlineStr">
        <is>
          <t>TC-0059</t>
        </is>
      </c>
      <c r="B61" s="15" t="inlineStr">
        <is>
          <t>04 — Provider Detail View</t>
        </is>
      </c>
      <c r="C61" s="15" t="inlineStr">
        <is>
          <t>Bots tab</t>
        </is>
      </c>
      <c r="D61" s="16" t="inlineStr">
        <is>
          <t>Functional</t>
        </is>
      </c>
      <c r="E61" s="23" t="inlineStr">
        <is>
          <t>P1</t>
        </is>
      </c>
      <c r="F61" s="15" t="inlineStr">
        <is>
          <t>Specialist</t>
        </is>
      </c>
      <c r="G61" s="15" t="inlineStr">
        <is>
          <t>Run all bots button enqueues PSV bots</t>
        </is>
      </c>
      <c r="H61" s="15" t="inlineStr">
        <is>
          <t>Specialist logged in. Provider exists with id &lt;pid&gt;.</t>
        </is>
      </c>
      <c r="I61" s="15" t="inlineStr">
        <is>
          <t>1. Navigate to /providers/&lt;pid&gt;
2. Provider has license + DEA + boards on file.</t>
        </is>
      </c>
      <c r="J61" s="15" t="inlineStr">
        <is>
          <t>(none)</t>
        </is>
      </c>
      <c r="K61" s="15" t="inlineStr">
        <is>
          <t>Click 'Run all bots' → BullMQ jobs visible in Bull Board. Statuses progress: QUEUED → RUNNING → COMPLETED/REQUIRES_MANUAL.</t>
        </is>
      </c>
      <c r="L61" s="15" t="inlineStr">
        <is>
          <t>Primary entry point for verification.</t>
        </is>
      </c>
      <c r="M61" s="15" t="inlineStr"/>
      <c r="N61" s="4" t="inlineStr"/>
      <c r="O61" s="15" t="inlineStr"/>
      <c r="P61" s="15" t="inlineStr"/>
      <c r="Q61" s="15" t="inlineStr"/>
      <c r="R61" s="15" t="inlineStr"/>
    </row>
    <row r="62" ht="56" customHeight="1">
      <c r="A62" s="4" t="inlineStr">
        <is>
          <t>TC-0060</t>
        </is>
      </c>
      <c r="B62" s="4" t="inlineStr">
        <is>
          <t>05 — PSV Bots &amp; Verifications</t>
        </is>
      </c>
      <c r="C62" s="4" t="inlineStr">
        <is>
          <t>License bot</t>
        </is>
      </c>
      <c r="D62" s="16" t="inlineStr">
        <is>
          <t>Functional</t>
        </is>
      </c>
      <c r="E62" s="17" t="inlineStr">
        <is>
          <t>P0</t>
        </is>
      </c>
      <c r="F62" s="4" t="inlineStr">
        <is>
          <t>Specialist</t>
        </is>
      </c>
      <c r="G62" s="4" t="inlineStr">
        <is>
          <t>State license verification bot completes</t>
        </is>
      </c>
      <c r="H62" s="4" t="inlineStr">
        <is>
          <t>Provider has NY license #.</t>
        </is>
      </c>
      <c r="I62" s="4" t="inlineStr">
        <is>
          <t>1. Run state-license bot for NY
2. Wait for completion</t>
        </is>
      </c>
      <c r="J62" s="4" t="inlineStr">
        <is>
          <t>license=12345, state=NY</t>
        </is>
      </c>
      <c r="K62" s="4" t="inlineStr">
        <is>
          <t>VerificationRecord row inserted, PDF saved to Azure Blob using naming convention 'NY License Verification, Exp. MM.DD.YYYY'.</t>
        </is>
      </c>
      <c r="L62" s="4" t="inlineStr">
        <is>
          <t>Backbone of PSV; failures here block credentialing.</t>
        </is>
      </c>
      <c r="M62" s="4" t="inlineStr"/>
      <c r="N62" s="4" t="inlineStr"/>
      <c r="O62" s="4" t="inlineStr"/>
      <c r="P62" s="4" t="inlineStr"/>
      <c r="Q62" s="4" t="inlineStr"/>
      <c r="R62" s="4" t="inlineStr"/>
    </row>
    <row r="63" ht="45" customHeight="1">
      <c r="A63" s="15" t="inlineStr">
        <is>
          <t>TC-0061</t>
        </is>
      </c>
      <c r="B63" s="15" t="inlineStr">
        <is>
          <t>05 — PSV Bots &amp; Verifications</t>
        </is>
      </c>
      <c r="C63" s="15" t="inlineStr">
        <is>
          <t>License bot</t>
        </is>
      </c>
      <c r="D63" s="21" t="inlineStr">
        <is>
          <t>Negative</t>
        </is>
      </c>
      <c r="E63" s="23" t="inlineStr">
        <is>
          <t>P1</t>
        </is>
      </c>
      <c r="F63" s="15" t="inlineStr">
        <is>
          <t>Specialist</t>
        </is>
      </c>
      <c r="G63" s="15" t="inlineStr">
        <is>
          <t>Bot handles target site downtime</t>
        </is>
      </c>
      <c r="H63" s="15" t="inlineStr">
        <is>
          <t>Patch state board URL to invalid host.</t>
        </is>
      </c>
      <c r="I63" s="15" t="inlineStr">
        <is>
          <t>1. Run bot</t>
        </is>
      </c>
      <c r="J63" s="15" t="inlineStr">
        <is>
          <t>(none)</t>
        </is>
      </c>
      <c r="K63" s="15" t="inlineStr">
        <is>
          <t>Bot transitions to FAILED with error captured. Orchestrator triages → retry or escalate.</t>
        </is>
      </c>
      <c r="L63" s="15" t="inlineStr">
        <is>
          <t>Real-world PSV sites go down; resilience is critical.</t>
        </is>
      </c>
      <c r="M63" s="15" t="inlineStr"/>
      <c r="N63" s="4" t="inlineStr"/>
      <c r="O63" s="15" t="inlineStr"/>
      <c r="P63" s="15" t="inlineStr"/>
      <c r="Q63" s="15" t="inlineStr"/>
      <c r="R63" s="15" t="inlineStr"/>
    </row>
    <row r="64" ht="45" customHeight="1">
      <c r="A64" s="4" t="inlineStr">
        <is>
          <t>TC-0062</t>
        </is>
      </c>
      <c r="B64" s="4" t="inlineStr">
        <is>
          <t>05 — PSV Bots &amp; Verifications</t>
        </is>
      </c>
      <c r="C64" s="4" t="inlineStr">
        <is>
          <t>DEA bot</t>
        </is>
      </c>
      <c r="D64" s="16" t="inlineStr">
        <is>
          <t>Functional</t>
        </is>
      </c>
      <c r="E64" s="17" t="inlineStr">
        <is>
          <t>P0</t>
        </is>
      </c>
      <c r="F64" s="4" t="inlineStr">
        <is>
          <t>Specialist</t>
        </is>
      </c>
      <c r="G64" s="4" t="inlineStr">
        <is>
          <t>DEA verification with TOTP MFA</t>
        </is>
      </c>
      <c r="H64" s="4" t="inlineStr">
        <is>
          <t>DEA TOTP secret in Key Vault.</t>
        </is>
      </c>
      <c r="I64" s="4" t="inlineStr">
        <is>
          <t>1. Run DEA bot</t>
        </is>
      </c>
      <c r="J64" s="4" t="inlineStr">
        <is>
          <t>DEA #</t>
        </is>
      </c>
      <c r="K64" s="4" t="inlineStr">
        <is>
          <t>Bot autocompletes MFA prompt and returns verification PDF.</t>
        </is>
      </c>
      <c r="L64" s="4" t="inlineStr">
        <is>
          <t>MFA automation distinguishes Essen's bot from manual lookups.</t>
        </is>
      </c>
      <c r="M64" s="4" t="inlineStr"/>
      <c r="N64" s="4" t="inlineStr"/>
      <c r="O64" s="4" t="inlineStr"/>
      <c r="P64" s="4" t="inlineStr"/>
      <c r="Q64" s="4" t="inlineStr"/>
      <c r="R64" s="4" t="inlineStr"/>
    </row>
    <row r="65" ht="45" customHeight="1">
      <c r="A65" s="15" t="inlineStr">
        <is>
          <t>TC-0063</t>
        </is>
      </c>
      <c r="B65" s="15" t="inlineStr">
        <is>
          <t>05 — PSV Bots &amp; Verifications</t>
        </is>
      </c>
      <c r="C65" s="15" t="inlineStr">
        <is>
          <t>DEA bot</t>
        </is>
      </c>
      <c r="D65" s="22" t="inlineStr">
        <is>
          <t>Security</t>
        </is>
      </c>
      <c r="E65" s="17" t="inlineStr">
        <is>
          <t>P0</t>
        </is>
      </c>
      <c r="F65" s="15" t="inlineStr">
        <is>
          <t>Specialist</t>
        </is>
      </c>
      <c r="G65" s="15" t="inlineStr">
        <is>
          <t>DEA TOTP secret never logged</t>
        </is>
      </c>
      <c r="H65" s="15" t="inlineStr">
        <is>
          <t>Run DEA bot.</t>
        </is>
      </c>
      <c r="I65" s="15" t="inlineStr">
        <is>
          <t>1. Inspect logs</t>
        </is>
      </c>
      <c r="J65" s="15" t="inlineStr">
        <is>
          <t>(none)</t>
        </is>
      </c>
      <c r="K65" s="15" t="inlineStr">
        <is>
          <t>No occurrence of secret in any log line.</t>
        </is>
      </c>
      <c r="L65" s="15" t="inlineStr">
        <is>
          <t>Secret leak = full credential takeover.</t>
        </is>
      </c>
      <c r="M65" s="15" t="inlineStr"/>
      <c r="N65" s="4" t="inlineStr"/>
      <c r="O65" s="15" t="inlineStr"/>
      <c r="P65" s="15" t="inlineStr"/>
      <c r="Q65" s="15" t="inlineStr"/>
      <c r="R65" s="15" t="inlineStr"/>
    </row>
    <row r="66" ht="45" customHeight="1">
      <c r="A66" s="4" t="inlineStr">
        <is>
          <t>TC-0064</t>
        </is>
      </c>
      <c r="B66" s="4" t="inlineStr">
        <is>
          <t>05 — PSV Bots &amp; Verifications</t>
        </is>
      </c>
      <c r="C66" s="4" t="inlineStr">
        <is>
          <t>Boards bot</t>
        </is>
      </c>
      <c r="D66" s="16" t="inlineStr">
        <is>
          <t>Functional</t>
        </is>
      </c>
      <c r="E66" s="23" t="inlineStr">
        <is>
          <t>P1</t>
        </is>
      </c>
      <c r="F66" s="4" t="inlineStr">
        <is>
          <t>Specialist</t>
        </is>
      </c>
      <c r="G66" s="4" t="inlineStr">
        <is>
          <t>ABMS board verification returns expected board name + cert date</t>
        </is>
      </c>
      <c r="H66" s="4" t="inlineStr">
        <is>
          <t>ABIM board cert.</t>
        </is>
      </c>
      <c r="I66" s="4" t="inlineStr">
        <is>
          <t>1. Run boards bot</t>
        </is>
      </c>
      <c r="J66" s="4" t="inlineStr">
        <is>
          <t>Board=ABIM, cert id</t>
        </is>
      </c>
      <c r="K66" s="4" t="inlineStr">
        <is>
          <t>VerificationRecord with board=ABIM, certDate set.</t>
        </is>
      </c>
      <c r="L66" s="4" t="inlineStr">
        <is>
          <t>Board cert is a primary credential.</t>
        </is>
      </c>
      <c r="M66" s="4" t="inlineStr"/>
      <c r="N66" s="4" t="inlineStr"/>
      <c r="O66" s="4" t="inlineStr"/>
      <c r="P66" s="4" t="inlineStr"/>
      <c r="Q66" s="4" t="inlineStr"/>
      <c r="R66" s="4" t="inlineStr"/>
    </row>
    <row r="67" ht="45" customHeight="1">
      <c r="A67" s="15" t="inlineStr">
        <is>
          <t>TC-0065</t>
        </is>
      </c>
      <c r="B67" s="15" t="inlineStr">
        <is>
          <t>05 — PSV Bots &amp; Verifications</t>
        </is>
      </c>
      <c r="C67" s="15" t="inlineStr">
        <is>
          <t>Sanctions OIG</t>
        </is>
      </c>
      <c r="D67" s="16" t="inlineStr">
        <is>
          <t>Functional</t>
        </is>
      </c>
      <c r="E67" s="17" t="inlineStr">
        <is>
          <t>P0</t>
        </is>
      </c>
      <c r="F67" s="15" t="inlineStr">
        <is>
          <t>Specialist</t>
        </is>
      </c>
      <c r="G67" s="15" t="inlineStr">
        <is>
          <t>OIG bot returns 'no findings' for clean provider</t>
        </is>
      </c>
      <c r="H67" s="15" t="inlineStr">
        <is>
          <t>Clean test NPI.</t>
        </is>
      </c>
      <c r="I67" s="15" t="inlineStr">
        <is>
          <t>1. Run OIG sanctions sweep</t>
        </is>
      </c>
      <c r="J67" s="15" t="inlineStr">
        <is>
          <t>Provider NPI</t>
        </is>
      </c>
      <c r="K67" s="15" t="inlineStr">
        <is>
          <t>VerificationRecord with result='NO_FINDINGS'. PDF saved.</t>
        </is>
      </c>
      <c r="L67" s="15" t="inlineStr">
        <is>
          <t>Negative result must still produce evidence for audit.</t>
        </is>
      </c>
      <c r="M67" s="15" t="inlineStr"/>
      <c r="N67" s="4" t="inlineStr"/>
      <c r="O67" s="15" t="inlineStr"/>
      <c r="P67" s="15" t="inlineStr"/>
      <c r="Q67" s="15" t="inlineStr"/>
      <c r="R67" s="15" t="inlineStr"/>
    </row>
    <row r="68" ht="45" customHeight="1">
      <c r="A68" s="4" t="inlineStr">
        <is>
          <t>TC-0066</t>
        </is>
      </c>
      <c r="B68" s="4" t="inlineStr">
        <is>
          <t>05 — PSV Bots &amp; Verifications</t>
        </is>
      </c>
      <c r="C68" s="4" t="inlineStr">
        <is>
          <t>Sanctions OIG</t>
        </is>
      </c>
      <c r="D68" s="16" t="inlineStr">
        <is>
          <t>Functional</t>
        </is>
      </c>
      <c r="E68" s="17" t="inlineStr">
        <is>
          <t>P0</t>
        </is>
      </c>
      <c r="F68" s="4" t="inlineStr">
        <is>
          <t>Specialist</t>
        </is>
      </c>
      <c r="G68" s="4" t="inlineStr">
        <is>
          <t>OIG bot raises CRITICAL alert when found</t>
        </is>
      </c>
      <c r="H68" s="4" t="inlineStr">
        <is>
          <t>Mock OIG response with hit.</t>
        </is>
      </c>
      <c r="I68" s="4" t="inlineStr">
        <is>
          <t>1. Run bot</t>
        </is>
      </c>
      <c r="J68" s="4" t="inlineStr">
        <is>
          <t>Mocked OIG hit</t>
        </is>
      </c>
      <c r="K68" s="4" t="inlineStr">
        <is>
          <t>MonitoringAlert created with severity=CRITICAL, type=SANCTION_OIG.</t>
        </is>
      </c>
      <c r="L68" s="4" t="inlineStr">
        <is>
          <t>Sanctioned providers must immediately surface for review.</t>
        </is>
      </c>
      <c r="M68" s="4" t="inlineStr"/>
      <c r="N68" s="4" t="inlineStr"/>
      <c r="O68" s="4" t="inlineStr"/>
      <c r="P68" s="4" t="inlineStr"/>
      <c r="Q68" s="4" t="inlineStr"/>
      <c r="R68" s="4" t="inlineStr"/>
    </row>
    <row r="69" ht="45" customHeight="1">
      <c r="A69" s="15" t="inlineStr">
        <is>
          <t>TC-0067</t>
        </is>
      </c>
      <c r="B69" s="15" t="inlineStr">
        <is>
          <t>05 — PSV Bots &amp; Verifications</t>
        </is>
      </c>
      <c r="C69" s="15" t="inlineStr">
        <is>
          <t>Sanctions SAM</t>
        </is>
      </c>
      <c r="D69" s="16" t="inlineStr">
        <is>
          <t>Functional</t>
        </is>
      </c>
      <c r="E69" s="17" t="inlineStr">
        <is>
          <t>P0</t>
        </is>
      </c>
      <c r="F69" s="15" t="inlineStr">
        <is>
          <t>Specialist</t>
        </is>
      </c>
      <c r="G69" s="15" t="inlineStr">
        <is>
          <t>SAM.gov sweep handles HTTP 429 gracefully</t>
        </is>
      </c>
      <c r="H69" s="15" t="inlineStr">
        <is>
          <t>Mock 429 response.</t>
        </is>
      </c>
      <c r="I69" s="15" t="inlineStr">
        <is>
          <t>1. Run bot</t>
        </is>
      </c>
      <c r="J69" s="15" t="inlineStr">
        <is>
          <t>(none)</t>
        </is>
      </c>
      <c r="K69" s="15" t="inlineStr">
        <is>
          <t>Bot backs off, retries with exp delay, eventually succeeds or marks REQUIRES_MANUAL.</t>
        </is>
      </c>
      <c r="L69" s="15" t="inlineStr">
        <is>
          <t>SAM.gov rate limits are aggressive.</t>
        </is>
      </c>
      <c r="M69" s="15" t="inlineStr"/>
      <c r="N69" s="4" t="inlineStr"/>
      <c r="O69" s="15" t="inlineStr"/>
      <c r="P69" s="15" t="inlineStr"/>
      <c r="Q69" s="15" t="inlineStr"/>
      <c r="R69" s="15" t="inlineStr"/>
    </row>
    <row r="70" ht="45" customHeight="1">
      <c r="A70" s="4" t="inlineStr">
        <is>
          <t>TC-0068</t>
        </is>
      </c>
      <c r="B70" s="4" t="inlineStr">
        <is>
          <t>05 — PSV Bots &amp; Verifications</t>
        </is>
      </c>
      <c r="C70" s="4" t="inlineStr">
        <is>
          <t>State Medicaid</t>
        </is>
      </c>
      <c r="D70" s="16" t="inlineStr">
        <is>
          <t>Functional</t>
        </is>
      </c>
      <c r="E70" s="17" t="inlineStr">
        <is>
          <t>P0</t>
        </is>
      </c>
      <c r="F70" s="4" t="inlineStr">
        <is>
          <t>Specialist</t>
        </is>
      </c>
      <c r="G70" s="4" t="inlineStr">
        <is>
          <t>NY OMIG screening runs for NY providers</t>
        </is>
      </c>
      <c r="H70" s="4" t="inlineStr">
        <is>
          <t>Provider with active NY license.</t>
        </is>
      </c>
      <c r="I70" s="4" t="inlineStr">
        <is>
          <t>1. Run OMIG bot</t>
        </is>
      </c>
      <c r="J70" s="4" t="inlineStr">
        <is>
          <t>NPI</t>
        </is>
      </c>
      <c r="K70" s="4" t="inlineStr">
        <is>
          <t>Verification record + PDF.</t>
        </is>
      </c>
      <c r="L70" s="4" t="inlineStr">
        <is>
          <t>Required for NY Medicaid enrollment.</t>
        </is>
      </c>
      <c r="M70" s="4" t="inlineStr"/>
      <c r="N70" s="4" t="inlineStr"/>
      <c r="O70" s="4" t="inlineStr"/>
      <c r="P70" s="4" t="inlineStr"/>
      <c r="Q70" s="4" t="inlineStr"/>
      <c r="R70" s="4" t="inlineStr"/>
    </row>
    <row r="71" ht="45" customHeight="1">
      <c r="A71" s="15" t="inlineStr">
        <is>
          <t>TC-0069</t>
        </is>
      </c>
      <c r="B71" s="15" t="inlineStr">
        <is>
          <t>05 — PSV Bots &amp; Verifications</t>
        </is>
      </c>
      <c r="C71" s="15" t="inlineStr">
        <is>
          <t>State Medicaid</t>
        </is>
      </c>
      <c r="D71" s="16" t="inlineStr">
        <is>
          <t>Functional</t>
        </is>
      </c>
      <c r="E71" s="23" t="inlineStr">
        <is>
          <t>P1</t>
        </is>
      </c>
      <c r="F71" s="15" t="inlineStr">
        <is>
          <t>Specialist</t>
        </is>
      </c>
      <c r="G71" s="15" t="inlineStr">
        <is>
          <t>Plug-in framework allows new state w/o redeploy</t>
        </is>
      </c>
      <c r="H71" s="15" t="inlineStr">
        <is>
          <t>Add new state config row.</t>
        </is>
      </c>
      <c r="I71" s="15" t="inlineStr">
        <is>
          <t>1. Insert state config
2. Trigger sweep for that state</t>
        </is>
      </c>
      <c r="J71" s="15" t="inlineStr">
        <is>
          <t>(none)</t>
        </is>
      </c>
      <c r="K71" s="15" t="inlineStr">
        <is>
          <t>New state bot runs with same lifecycle.</t>
        </is>
      </c>
      <c r="L71" s="15" t="inlineStr">
        <is>
          <t>Extensibility = scalability across 50 states.</t>
        </is>
      </c>
      <c r="M71" s="15" t="inlineStr"/>
      <c r="N71" s="4" t="inlineStr"/>
      <c r="O71" s="15" t="inlineStr"/>
      <c r="P71" s="15" t="inlineStr"/>
      <c r="Q71" s="15" t="inlineStr"/>
      <c r="R71" s="15" t="inlineStr"/>
    </row>
    <row r="72" ht="45" customHeight="1">
      <c r="A72" s="4" t="inlineStr">
        <is>
          <t>TC-0070</t>
        </is>
      </c>
      <c r="B72" s="4" t="inlineStr">
        <is>
          <t>05 — PSV Bots &amp; Verifications</t>
        </is>
      </c>
      <c r="C72" s="4" t="inlineStr">
        <is>
          <t>NPDB</t>
        </is>
      </c>
      <c r="D72" s="16" t="inlineStr">
        <is>
          <t>Functional</t>
        </is>
      </c>
      <c r="E72" s="17" t="inlineStr">
        <is>
          <t>P0</t>
        </is>
      </c>
      <c r="F72" s="4" t="inlineStr">
        <is>
          <t>Specialist</t>
        </is>
      </c>
      <c r="G72" s="4" t="inlineStr">
        <is>
          <t>NPDB Continuous Query enrollment + nightly poll</t>
        </is>
      </c>
      <c r="H72" s="4" t="inlineStr">
        <is>
          <t>Provider with NPDB enrollment.</t>
        </is>
      </c>
      <c r="I72" s="4" t="inlineStr">
        <is>
          <t>1. Run nightly poll</t>
        </is>
      </c>
      <c r="J72" s="4" t="inlineStr">
        <is>
          <t>(none)</t>
        </is>
      </c>
      <c r="K72" s="4" t="inlineStr">
        <is>
          <t>If new report exists, MonitoringAlert raised. Otherwise no-op with audit entry.</t>
        </is>
      </c>
      <c r="L72" s="4" t="inlineStr">
        <is>
          <t>Continuous monitoring (vs annual) catches issues immediately.</t>
        </is>
      </c>
      <c r="M72" s="4" t="inlineStr"/>
      <c r="N72" s="4" t="inlineStr"/>
      <c r="O72" s="4" t="inlineStr"/>
      <c r="P72" s="4" t="inlineStr"/>
      <c r="Q72" s="4" t="inlineStr"/>
      <c r="R72" s="4" t="inlineStr"/>
    </row>
    <row r="73" ht="45" customHeight="1">
      <c r="A73" s="15" t="inlineStr">
        <is>
          <t>TC-0071</t>
        </is>
      </c>
      <c r="B73" s="15" t="inlineStr">
        <is>
          <t>05 — PSV Bots &amp; Verifications</t>
        </is>
      </c>
      <c r="C73" s="15" t="inlineStr">
        <is>
          <t>AMA bot</t>
        </is>
      </c>
      <c r="D73" s="16" t="inlineStr">
        <is>
          <t>Functional</t>
        </is>
      </c>
      <c r="E73" s="23" t="inlineStr">
        <is>
          <t>P1</t>
        </is>
      </c>
      <c r="F73" s="15" t="inlineStr">
        <is>
          <t>Specialist</t>
        </is>
      </c>
      <c r="G73" s="15" t="inlineStr">
        <is>
          <t>AMA Physician Masterfile lookup</t>
        </is>
      </c>
      <c r="H73" s="15" t="inlineStr">
        <is>
          <t>MD provider.</t>
        </is>
      </c>
      <c r="I73" s="15" t="inlineStr">
        <is>
          <t>1. Run AMA bot</t>
        </is>
      </c>
      <c r="J73" s="15" t="inlineStr">
        <is>
          <t>First, last, NPI</t>
        </is>
      </c>
      <c r="K73" s="15" t="inlineStr">
        <is>
          <t>VerificationRecord with masterfile data.</t>
        </is>
      </c>
      <c r="L73" s="15" t="inlineStr">
        <is>
          <t>1 of 11 NCQA CVO products.</t>
        </is>
      </c>
      <c r="M73" s="15" t="inlineStr"/>
      <c r="N73" s="4" t="inlineStr"/>
      <c r="O73" s="15" t="inlineStr"/>
      <c r="P73" s="15" t="inlineStr"/>
      <c r="Q73" s="15" t="inlineStr"/>
      <c r="R73" s="15" t="inlineStr"/>
    </row>
    <row r="74" ht="45" customHeight="1">
      <c r="A74" s="4" t="inlineStr">
        <is>
          <t>TC-0072</t>
        </is>
      </c>
      <c r="B74" s="4" t="inlineStr">
        <is>
          <t>05 — PSV Bots &amp; Verifications</t>
        </is>
      </c>
      <c r="C74" s="4" t="inlineStr">
        <is>
          <t>ECFMG bot</t>
        </is>
      </c>
      <c r="D74" s="16" t="inlineStr">
        <is>
          <t>Functional</t>
        </is>
      </c>
      <c r="E74" s="23" t="inlineStr">
        <is>
          <t>P1</t>
        </is>
      </c>
      <c r="F74" s="4" t="inlineStr">
        <is>
          <t>Specialist</t>
        </is>
      </c>
      <c r="G74" s="4" t="inlineStr">
        <is>
          <t>ECFMG verification for IMG</t>
        </is>
      </c>
      <c r="H74" s="4" t="inlineStr">
        <is>
          <t>IMG provider with ECFMG #.</t>
        </is>
      </c>
      <c r="I74" s="4" t="inlineStr">
        <is>
          <t>1. Run ECFMG bot</t>
        </is>
      </c>
      <c r="J74" s="4" t="inlineStr">
        <is>
          <t>ECFMG #</t>
        </is>
      </c>
      <c r="K74" s="4" t="inlineStr">
        <is>
          <t>Verification PDF returned.</t>
        </is>
      </c>
      <c r="L74" s="4" t="inlineStr">
        <is>
          <t>Required for international medical graduates.</t>
        </is>
      </c>
      <c r="M74" s="4" t="inlineStr"/>
      <c r="N74" s="4" t="inlineStr"/>
      <c r="O74" s="4" t="inlineStr"/>
      <c r="P74" s="4" t="inlineStr"/>
      <c r="Q74" s="4" t="inlineStr"/>
      <c r="R74" s="4" t="inlineStr"/>
    </row>
    <row r="75" ht="45" customHeight="1">
      <c r="A75" s="15" t="inlineStr">
        <is>
          <t>TC-0073</t>
        </is>
      </c>
      <c r="B75" s="15" t="inlineStr">
        <is>
          <t>05 — PSV Bots &amp; Verifications</t>
        </is>
      </c>
      <c r="C75" s="15" t="inlineStr">
        <is>
          <t>ACGME bot</t>
        </is>
      </c>
      <c r="D75" s="16" t="inlineStr">
        <is>
          <t>Functional</t>
        </is>
      </c>
      <c r="E75" s="23" t="inlineStr">
        <is>
          <t>P1</t>
        </is>
      </c>
      <c r="F75" s="15" t="inlineStr">
        <is>
          <t>Specialist</t>
        </is>
      </c>
      <c r="G75" s="15" t="inlineStr">
        <is>
          <t>Residency / fellowship verification</t>
        </is>
      </c>
      <c r="H75" s="15" t="inlineStr">
        <is>
          <t>Provider with residency.</t>
        </is>
      </c>
      <c r="I75" s="15" t="inlineStr">
        <is>
          <t>1. Run ACGME bot</t>
        </is>
      </c>
      <c r="J75" s="15" t="inlineStr">
        <is>
          <t>Program, completion year</t>
        </is>
      </c>
      <c r="K75" s="15" t="inlineStr">
        <is>
          <t>Verification record.</t>
        </is>
      </c>
      <c r="L75" s="15" t="inlineStr">
        <is>
          <t>Education PSV completes the 11/11 NCQA set.</t>
        </is>
      </c>
      <c r="M75" s="15" t="inlineStr"/>
      <c r="N75" s="4" t="inlineStr"/>
      <c r="O75" s="15" t="inlineStr"/>
      <c r="P75" s="15" t="inlineStr"/>
      <c r="Q75" s="15" t="inlineStr"/>
      <c r="R75" s="15" t="inlineStr"/>
    </row>
    <row r="76" ht="45" customHeight="1">
      <c r="A76" s="4" t="inlineStr">
        <is>
          <t>TC-0074</t>
        </is>
      </c>
      <c r="B76" s="4" t="inlineStr">
        <is>
          <t>05 — PSV Bots &amp; Verifications</t>
        </is>
      </c>
      <c r="C76" s="4" t="inlineStr">
        <is>
          <t>Work history</t>
        </is>
      </c>
      <c r="D76" s="16" t="inlineStr">
        <is>
          <t>Functional</t>
        </is>
      </c>
      <c r="E76" s="17" t="inlineStr">
        <is>
          <t>P0</t>
        </is>
      </c>
      <c r="F76" s="4" t="inlineStr">
        <is>
          <t>Specialist</t>
        </is>
      </c>
      <c r="G76" s="4" t="inlineStr">
        <is>
          <t>Work history outreach email actually sent via SendGrid</t>
        </is>
      </c>
      <c r="H76" s="4" t="inlineStr">
        <is>
          <t>Provider with employment history entry.</t>
        </is>
      </c>
      <c r="I76" s="4" t="inlineStr">
        <is>
          <t>1. Click 'Send work history request' on employer row</t>
        </is>
      </c>
      <c r="J76" s="4" t="inlineStr">
        <is>
          <t>Employer email</t>
        </is>
      </c>
      <c r="K76" s="4" t="inlineStr">
        <is>
          <t>SendGrid 202 response. WorkHistoryVerification row updated to SENT. Email arrives.</t>
        </is>
      </c>
      <c r="L76" s="4" t="inlineStr">
        <is>
          <t>Was stubbed in P0 — must verify real email.</t>
        </is>
      </c>
      <c r="M76" s="4" t="inlineStr"/>
      <c r="N76" s="4" t="inlineStr"/>
      <c r="O76" s="4" t="inlineStr"/>
      <c r="P76" s="4" t="inlineStr"/>
      <c r="Q76" s="4" t="inlineStr"/>
      <c r="R76" s="4" t="inlineStr"/>
    </row>
    <row r="77" ht="45" customHeight="1">
      <c r="A77" s="15" t="inlineStr">
        <is>
          <t>TC-0075</t>
        </is>
      </c>
      <c r="B77" s="15" t="inlineStr">
        <is>
          <t>05 — PSV Bots &amp; Verifications</t>
        </is>
      </c>
      <c r="C77" s="15" t="inlineStr">
        <is>
          <t>Work history</t>
        </is>
      </c>
      <c r="D77" s="16" t="inlineStr">
        <is>
          <t>Functional</t>
        </is>
      </c>
      <c r="E77" s="23" t="inlineStr">
        <is>
          <t>P1</t>
        </is>
      </c>
      <c r="F77" s="15" t="inlineStr">
        <is>
          <t>Specialist</t>
        </is>
      </c>
      <c r="G77" s="15" t="inlineStr">
        <is>
          <t>Public verify page accepts response</t>
        </is>
      </c>
      <c r="H77" s="15" t="inlineStr">
        <is>
          <t>Token-bound URL emailed.</t>
        </is>
      </c>
      <c r="I77" s="15" t="inlineStr">
        <is>
          <t>1. Open URL
2. Fill response form
3. Submit</t>
        </is>
      </c>
      <c r="J77" s="15" t="inlineStr">
        <is>
          <t>Yes/no, dates, comments</t>
        </is>
      </c>
      <c r="K77" s="15" t="inlineStr">
        <is>
          <t>Status → RECEIVED. Audit entry. Email confirmation to staff.</t>
        </is>
      </c>
      <c r="L77" s="15" t="inlineStr">
        <is>
          <t>Closes the loop without staff intervention.</t>
        </is>
      </c>
      <c r="M77" s="15" t="inlineStr"/>
      <c r="N77" s="4" t="inlineStr"/>
      <c r="O77" s="15" t="inlineStr"/>
      <c r="P77" s="15" t="inlineStr"/>
      <c r="Q77" s="15" t="inlineStr"/>
      <c r="R77" s="15" t="inlineStr"/>
    </row>
    <row r="78" ht="45" customHeight="1">
      <c r="A78" s="4" t="inlineStr">
        <is>
          <t>TC-0076</t>
        </is>
      </c>
      <c r="B78" s="4" t="inlineStr">
        <is>
          <t>05 — PSV Bots &amp; Verifications</t>
        </is>
      </c>
      <c r="C78" s="4" t="inlineStr">
        <is>
          <t>References</t>
        </is>
      </c>
      <c r="D78" s="16" t="inlineStr">
        <is>
          <t>Functional</t>
        </is>
      </c>
      <c r="E78" s="17" t="inlineStr">
        <is>
          <t>P0</t>
        </is>
      </c>
      <c r="F78" s="4" t="inlineStr">
        <is>
          <t>Specialist</t>
        </is>
      </c>
      <c r="G78" s="4" t="inlineStr">
        <is>
          <t>Reference outreach email sent</t>
        </is>
      </c>
      <c r="H78" s="4" t="inlineStr">
        <is>
          <t>Reference on file.</t>
        </is>
      </c>
      <c r="I78" s="4" t="inlineStr">
        <is>
          <t>1. Click 'Send reference request'</t>
        </is>
      </c>
      <c r="J78" s="4" t="inlineStr">
        <is>
          <t>(none)</t>
        </is>
      </c>
      <c r="K78" s="4" t="inlineStr">
        <is>
          <t>SendGrid 202. Email arrives.</t>
        </is>
      </c>
      <c r="L78" s="4" t="inlineStr">
        <is>
          <t>Same email plumbing as work history.</t>
        </is>
      </c>
      <c r="M78" s="4" t="inlineStr"/>
      <c r="N78" s="4" t="inlineStr"/>
      <c r="O78" s="4" t="inlineStr"/>
      <c r="P78" s="4" t="inlineStr"/>
      <c r="Q78" s="4" t="inlineStr"/>
      <c r="R78" s="4" t="inlineStr"/>
    </row>
    <row r="79" ht="45" customHeight="1">
      <c r="A79" s="15" t="inlineStr">
        <is>
          <t>TC-0077</t>
        </is>
      </c>
      <c r="B79" s="15" t="inlineStr">
        <is>
          <t>05 — PSV Bots &amp; Verifications</t>
        </is>
      </c>
      <c r="C79" s="15" t="inlineStr">
        <is>
          <t>References</t>
        </is>
      </c>
      <c r="D79" s="16" t="inlineStr">
        <is>
          <t>Functional</t>
        </is>
      </c>
      <c r="E79" s="23" t="inlineStr">
        <is>
          <t>P1</t>
        </is>
      </c>
      <c r="F79" s="15" t="inlineStr">
        <is>
          <t>Specialist</t>
        </is>
      </c>
      <c r="G79" s="15" t="inlineStr">
        <is>
          <t>Reminder email after N days</t>
        </is>
      </c>
      <c r="H79" s="15" t="inlineStr">
        <is>
          <t>Reference SENT &gt;7d ago, no response.</t>
        </is>
      </c>
      <c r="I79" s="15" t="inlineStr">
        <is>
          <t>1. Trigger reminder cron</t>
        </is>
      </c>
      <c r="J79" s="15" t="inlineStr">
        <is>
          <t>(none)</t>
        </is>
      </c>
      <c r="K79" s="15" t="inlineStr">
        <is>
          <t>Reminder sent. ReferenceVerification.lastReminderAt updated.</t>
        </is>
      </c>
      <c r="L79" s="15" t="inlineStr">
        <is>
          <t>Reduces credentialing turnaround.</t>
        </is>
      </c>
      <c r="M79" s="15" t="inlineStr"/>
      <c r="N79" s="4" t="inlineStr"/>
      <c r="O79" s="15" t="inlineStr"/>
      <c r="P79" s="15" t="inlineStr"/>
      <c r="Q79" s="15" t="inlineStr"/>
      <c r="R79" s="15" t="inlineStr"/>
    </row>
    <row r="80" ht="45" customHeight="1">
      <c r="A80" s="4" t="inlineStr">
        <is>
          <t>TC-0078</t>
        </is>
      </c>
      <c r="B80" s="4" t="inlineStr">
        <is>
          <t>05 — PSV Bots &amp; Verifications</t>
        </is>
      </c>
      <c r="C80" s="4" t="inlineStr">
        <is>
          <t>Carrier malpractice</t>
        </is>
      </c>
      <c r="D80" s="16" t="inlineStr">
        <is>
          <t>Functional</t>
        </is>
      </c>
      <c r="E80" s="23" t="inlineStr">
        <is>
          <t>P1</t>
        </is>
      </c>
      <c r="F80" s="4" t="inlineStr">
        <is>
          <t>Specialist</t>
        </is>
      </c>
      <c r="G80" s="4" t="inlineStr">
        <is>
          <t>Carrier responds via public token URL</t>
        </is>
      </c>
      <c r="H80" s="4" t="inlineStr">
        <is>
          <t>Carrier verification SENT.</t>
        </is>
      </c>
      <c r="I80" s="4" t="inlineStr">
        <is>
          <t>1. Open carrier URL
2. Fill coverage details</t>
        </is>
      </c>
      <c r="J80" s="4" t="inlineStr">
        <is>
          <t>Coverage amounts, dates</t>
        </is>
      </c>
      <c r="K80" s="4" t="inlineStr">
        <is>
          <t>Status → CONFIRMED. Coverage stored on provider. Threshold check vs facility minimum.</t>
        </is>
      </c>
      <c r="L80" s="4" t="inlineStr">
        <is>
          <t>Replaces error-prone manual carrier follow-up.</t>
        </is>
      </c>
      <c r="M80" s="4" t="inlineStr"/>
      <c r="N80" s="4" t="inlineStr"/>
      <c r="O80" s="4" t="inlineStr"/>
      <c r="P80" s="4" t="inlineStr"/>
      <c r="Q80" s="4" t="inlineStr"/>
      <c r="R80" s="4" t="inlineStr"/>
    </row>
    <row r="81" ht="45" customHeight="1">
      <c r="A81" s="15" t="inlineStr">
        <is>
          <t>TC-0079</t>
        </is>
      </c>
      <c r="B81" s="15" t="inlineStr">
        <is>
          <t>05 — PSV Bots &amp; Verifications</t>
        </is>
      </c>
      <c r="C81" s="15" t="inlineStr">
        <is>
          <t>Bot exception orchestrator</t>
        </is>
      </c>
      <c r="D81" s="16" t="inlineStr">
        <is>
          <t>Functional</t>
        </is>
      </c>
      <c r="E81" s="23" t="inlineStr">
        <is>
          <t>P1</t>
        </is>
      </c>
      <c r="F81" s="15" t="inlineStr">
        <is>
          <t>Specialist</t>
        </is>
      </c>
      <c r="G81" s="15" t="inlineStr">
        <is>
          <t>Failed bot routes to orchestrator queue</t>
        </is>
      </c>
      <c r="H81" s="15" t="inlineStr">
        <is>
          <t>Bot fails (network).</t>
        </is>
      </c>
      <c r="I81" s="15" t="inlineStr">
        <is>
          <t>1. Inspect /bots/exceptions</t>
        </is>
      </c>
      <c r="J81" s="15" t="inlineStr">
        <is>
          <t>(none)</t>
        </is>
      </c>
      <c r="K81" s="15" t="inlineStr">
        <is>
          <t>Failed run appears with verdict (RETRY / RETRY_BACKOFF / ESCALATE / etc).</t>
        </is>
      </c>
      <c r="L81" s="15" t="inlineStr">
        <is>
          <t>Reduces manual triage burden.</t>
        </is>
      </c>
      <c r="M81" s="15" t="inlineStr"/>
      <c r="N81" s="4" t="inlineStr"/>
      <c r="O81" s="15" t="inlineStr"/>
      <c r="P81" s="15" t="inlineStr"/>
      <c r="Q81" s="15" t="inlineStr"/>
      <c r="R81" s="15" t="inlineStr"/>
    </row>
    <row r="82" ht="45" customHeight="1">
      <c r="A82" s="4" t="inlineStr">
        <is>
          <t>TC-0080</t>
        </is>
      </c>
      <c r="B82" s="4" t="inlineStr">
        <is>
          <t>05 — PSV Bots &amp; Verifications</t>
        </is>
      </c>
      <c r="C82" s="4" t="inlineStr">
        <is>
          <t>Bot exception orchestrator</t>
        </is>
      </c>
      <c r="D82" s="16" t="inlineStr">
        <is>
          <t>Functional</t>
        </is>
      </c>
      <c r="E82" s="19" t="inlineStr">
        <is>
          <t>P2</t>
        </is>
      </c>
      <c r="F82" s="4" t="inlineStr">
        <is>
          <t>Specialist</t>
        </is>
      </c>
      <c r="G82" s="4" t="inlineStr">
        <is>
          <t>Staff can override AI verdict</t>
        </is>
      </c>
      <c r="H82" s="4" t="inlineStr">
        <is>
          <t>Verdict ESCALATE assigned.</t>
        </is>
      </c>
      <c r="I82" s="4" t="inlineStr">
        <is>
          <t>1. Open detail
2. Click 'Override' → choose RETRY</t>
        </is>
      </c>
      <c r="J82" s="4" t="inlineStr">
        <is>
          <t>Reason text</t>
        </is>
      </c>
      <c r="K82" s="4" t="inlineStr">
        <is>
          <t>BotExceptionVerdict updated; override audit log; bot re-queued.</t>
        </is>
      </c>
      <c r="L82" s="4" t="inlineStr">
        <is>
          <t>Human-in-the-loop on AI decisions is non-negotiable.</t>
        </is>
      </c>
      <c r="M82" s="4" t="inlineStr"/>
      <c r="N82" s="4" t="inlineStr"/>
      <c r="O82" s="4" t="inlineStr"/>
      <c r="P82" s="4" t="inlineStr"/>
      <c r="Q82" s="4" t="inlineStr"/>
      <c r="R82" s="4" t="inlineStr"/>
    </row>
    <row r="83" ht="45" customHeight="1">
      <c r="A83" s="15" t="inlineStr">
        <is>
          <t>TC-0081</t>
        </is>
      </c>
      <c r="B83" s="15" t="inlineStr">
        <is>
          <t>06 — Continuous Monitoring</t>
        </is>
      </c>
      <c r="C83" s="15" t="inlineStr">
        <is>
          <t>License poll</t>
        </is>
      </c>
      <c r="D83" s="16" t="inlineStr">
        <is>
          <t>Functional</t>
        </is>
      </c>
      <c r="E83" s="17" t="inlineStr">
        <is>
          <t>P0</t>
        </is>
      </c>
      <c r="F83" s="15" t="inlineStr">
        <is>
          <t>Specialist</t>
        </is>
      </c>
      <c r="G83" s="15" t="inlineStr">
        <is>
          <t>Nightly license poll detects status change</t>
        </is>
      </c>
      <c r="H83" s="15" t="inlineStr">
        <is>
          <t>Provider license status was ACTIVE in last verification.</t>
        </is>
      </c>
      <c r="I83" s="15" t="inlineStr">
        <is>
          <t>1. Mock state board to return SUSPENDED
2. Run nightly job</t>
        </is>
      </c>
      <c r="J83" s="15" t="inlineStr">
        <is>
          <t>(none)</t>
        </is>
      </c>
      <c r="K83" s="15" t="inlineStr">
        <is>
          <t>MonitoringAlert (CRITICAL, LICENSE_STATUS_CHANGED) raised. Provider status flagged for review.</t>
        </is>
      </c>
      <c r="L83" s="15" t="inlineStr">
        <is>
          <t>Real-time license issue = patient safety + reimbursement risk.</t>
        </is>
      </c>
      <c r="M83" s="15" t="inlineStr"/>
      <c r="N83" s="4" t="inlineStr"/>
      <c r="O83" s="15" t="inlineStr"/>
      <c r="P83" s="15" t="inlineStr"/>
      <c r="Q83" s="15" t="inlineStr"/>
      <c r="R83" s="15" t="inlineStr"/>
    </row>
    <row r="84" ht="45" customHeight="1">
      <c r="A84" s="4" t="inlineStr">
        <is>
          <t>TC-0082</t>
        </is>
      </c>
      <c r="B84" s="4" t="inlineStr">
        <is>
          <t>06 — Continuous Monitoring</t>
        </is>
      </c>
      <c r="C84" s="4" t="inlineStr">
        <is>
          <t>SAM.gov webhook</t>
        </is>
      </c>
      <c r="D84" s="16" t="inlineStr">
        <is>
          <t>Functional</t>
        </is>
      </c>
      <c r="E84" s="17" t="inlineStr">
        <is>
          <t>P0</t>
        </is>
      </c>
      <c r="F84" s="4" t="inlineStr">
        <is>
          <t>Specialist</t>
        </is>
      </c>
      <c r="G84" s="4" t="inlineStr">
        <is>
          <t>Webhook ingest writes alert + audit</t>
        </is>
      </c>
      <c r="H84" s="4" t="inlineStr">
        <is>
          <t>(SAM webhook configured)</t>
        </is>
      </c>
      <c r="I84" s="4" t="inlineStr">
        <is>
          <t>1. POST mock SAM webhook to /api/webhooks/exclusions</t>
        </is>
      </c>
      <c r="J84" s="4" t="inlineStr">
        <is>
          <t>Signed payload</t>
        </is>
      </c>
      <c r="K84" s="4" t="inlineStr">
        <is>
          <t>Alert created. Audit log entry. Acknowledgement email to compliance.</t>
        </is>
      </c>
      <c r="L84" s="4" t="inlineStr">
        <is>
          <t>Push beats poll for sanctions.</t>
        </is>
      </c>
      <c r="M84" s="4" t="inlineStr"/>
      <c r="N84" s="4" t="inlineStr"/>
      <c r="O84" s="4" t="inlineStr"/>
      <c r="P84" s="4" t="inlineStr"/>
      <c r="Q84" s="4" t="inlineStr"/>
      <c r="R84" s="4" t="inlineStr"/>
    </row>
    <row r="85" ht="45" customHeight="1">
      <c r="A85" s="15" t="inlineStr">
        <is>
          <t>TC-0083</t>
        </is>
      </c>
      <c r="B85" s="15" t="inlineStr">
        <is>
          <t>06 — Continuous Monitoring</t>
        </is>
      </c>
      <c r="C85" s="15" t="inlineStr">
        <is>
          <t>SAM.gov webhook</t>
        </is>
      </c>
      <c r="D85" s="22" t="inlineStr">
        <is>
          <t>Security</t>
        </is>
      </c>
      <c r="E85" s="17" t="inlineStr">
        <is>
          <t>P0</t>
        </is>
      </c>
      <c r="F85" s="15" t="inlineStr">
        <is>
          <t>Specialist</t>
        </is>
      </c>
      <c r="G85" s="15" t="inlineStr">
        <is>
          <t>Webhook rejects unsigned/invalid signatures</t>
        </is>
      </c>
      <c r="H85" s="15" t="inlineStr">
        <is>
          <t>(none)</t>
        </is>
      </c>
      <c r="I85" s="15" t="inlineStr">
        <is>
          <t>1. POST without signature header</t>
        </is>
      </c>
      <c r="J85" s="15" t="inlineStr">
        <is>
          <t>(none)</t>
        </is>
      </c>
      <c r="K85" s="15" t="inlineStr">
        <is>
          <t>401 Unauthorized.</t>
        </is>
      </c>
      <c r="L85" s="15" t="inlineStr">
        <is>
          <t>Without signature check, anyone can spoof exclusions.</t>
        </is>
      </c>
      <c r="M85" s="15" t="inlineStr"/>
      <c r="N85" s="4" t="inlineStr"/>
      <c r="O85" s="15" t="inlineStr"/>
      <c r="P85" s="15" t="inlineStr"/>
      <c r="Q85" s="15" t="inlineStr"/>
      <c r="R85" s="15" t="inlineStr"/>
    </row>
    <row r="86" ht="45" customHeight="1">
      <c r="A86" s="4" t="inlineStr">
        <is>
          <t>TC-0084</t>
        </is>
      </c>
      <c r="B86" s="4" t="inlineStr">
        <is>
          <t>06 — Continuous Monitoring</t>
        </is>
      </c>
      <c r="C86" s="4" t="inlineStr">
        <is>
          <t>Monitoring page</t>
        </is>
      </c>
      <c r="D86" s="16" t="inlineStr">
        <is>
          <t>Functional</t>
        </is>
      </c>
      <c r="E86" s="17" t="inlineStr">
        <is>
          <t>P0</t>
        </is>
      </c>
      <c r="F86" s="4" t="inlineStr">
        <is>
          <t>Specialist</t>
        </is>
      </c>
      <c r="G86" s="4" t="inlineStr">
        <is>
          <t>Monitoring page lists all open alerts</t>
        </is>
      </c>
      <c r="H86" s="4" t="inlineStr">
        <is>
          <t>Several alerts open.</t>
        </is>
      </c>
      <c r="I86" s="4" t="inlineStr">
        <is>
          <t>1. Navigate /monitoring</t>
        </is>
      </c>
      <c r="J86" s="4" t="inlineStr">
        <is>
          <t>(none)</t>
        </is>
      </c>
      <c r="K86" s="4" t="inlineStr">
        <is>
          <t>Table shows id, provider, severity, type, detectedAt. Filterable.</t>
        </is>
      </c>
      <c r="L86" s="4" t="inlineStr">
        <is>
          <t>Single pane of glass for compliance.</t>
        </is>
      </c>
      <c r="M86" s="4" t="inlineStr"/>
      <c r="N86" s="4" t="inlineStr"/>
      <c r="O86" s="4" t="inlineStr"/>
      <c r="P86" s="4" t="inlineStr"/>
      <c r="Q86" s="4" t="inlineStr"/>
      <c r="R86" s="4" t="inlineStr"/>
    </row>
    <row r="87" ht="45" customHeight="1">
      <c r="A87" s="15" t="inlineStr">
        <is>
          <t>TC-0085</t>
        </is>
      </c>
      <c r="B87" s="15" t="inlineStr">
        <is>
          <t>06 — Continuous Monitoring</t>
        </is>
      </c>
      <c r="C87" s="15" t="inlineStr">
        <is>
          <t>Monitoring page</t>
        </is>
      </c>
      <c r="D87" s="16" t="inlineStr">
        <is>
          <t>Functional</t>
        </is>
      </c>
      <c r="E87" s="23" t="inlineStr">
        <is>
          <t>P1</t>
        </is>
      </c>
      <c r="F87" s="15" t="inlineStr">
        <is>
          <t>Specialist</t>
        </is>
      </c>
      <c r="G87" s="15" t="inlineStr">
        <is>
          <t>Acknowledge alert workflow</t>
        </is>
      </c>
      <c r="H87" s="15" t="inlineStr">
        <is>
          <t>Open alert row.</t>
        </is>
      </c>
      <c r="I87" s="15" t="inlineStr">
        <is>
          <t>1. Click 'Acknowledge'
2. Add note
3. Submit</t>
        </is>
      </c>
      <c r="J87" s="15" t="inlineStr">
        <is>
          <t>Note text</t>
        </is>
      </c>
      <c r="K87" s="15" t="inlineStr">
        <is>
          <t>Alert status → ACKNOWLEDGED, ackById=me, ackAt set. Audit log row.</t>
        </is>
      </c>
      <c r="L87" s="15" t="inlineStr">
        <is>
          <t>Tracks human action for audit.</t>
        </is>
      </c>
      <c r="M87" s="15" t="inlineStr"/>
      <c r="N87" s="4" t="inlineStr"/>
      <c r="O87" s="15" t="inlineStr"/>
      <c r="P87" s="15" t="inlineStr"/>
      <c r="Q87" s="15" t="inlineStr"/>
      <c r="R87" s="15" t="inlineStr"/>
    </row>
    <row r="88" ht="45" customHeight="1">
      <c r="A88" s="4" t="inlineStr">
        <is>
          <t>TC-0086</t>
        </is>
      </c>
      <c r="B88" s="4" t="inlineStr">
        <is>
          <t>06 — Continuous Monitoring</t>
        </is>
      </c>
      <c r="C88" s="4" t="inlineStr">
        <is>
          <t>Monitoring page</t>
        </is>
      </c>
      <c r="D88" s="16" t="inlineStr">
        <is>
          <t>Functional</t>
        </is>
      </c>
      <c r="E88" s="23" t="inlineStr">
        <is>
          <t>P1</t>
        </is>
      </c>
      <c r="F88" s="4" t="inlineStr">
        <is>
          <t>Specialist</t>
        </is>
      </c>
      <c r="G88" s="4" t="inlineStr">
        <is>
          <t>Resolve alert with reason</t>
        </is>
      </c>
      <c r="H88" s="4" t="inlineStr">
        <is>
          <t>Open alert.</t>
        </is>
      </c>
      <c r="I88" s="4" t="inlineStr">
        <is>
          <t>1. Click 'Resolve'
2. Provide resolution note
3. Submit</t>
        </is>
      </c>
      <c r="J88" s="4" t="inlineStr">
        <is>
          <t>Resolution text</t>
        </is>
      </c>
      <c r="K88" s="4" t="inlineStr">
        <is>
          <t>Status → RESOLVED. resolutionNote persisted.</t>
        </is>
      </c>
      <c r="L88" s="4" t="inlineStr">
        <is>
          <t>Closes the loop with traceable rationale.</t>
        </is>
      </c>
      <c r="M88" s="4" t="inlineStr"/>
      <c r="N88" s="4" t="inlineStr"/>
      <c r="O88" s="4" t="inlineStr"/>
      <c r="P88" s="4" t="inlineStr"/>
      <c r="Q88" s="4" t="inlineStr"/>
      <c r="R88" s="4" t="inlineStr"/>
    </row>
    <row r="89" ht="45" customHeight="1">
      <c r="A89" s="15" t="inlineStr">
        <is>
          <t>TC-0087</t>
        </is>
      </c>
      <c r="B89" s="15" t="inlineStr">
        <is>
          <t>06 — Continuous Monitoring</t>
        </is>
      </c>
      <c r="C89" s="15" t="inlineStr">
        <is>
          <t>FSMB PDC</t>
        </is>
      </c>
      <c r="D89" s="16" t="inlineStr">
        <is>
          <t>Functional</t>
        </is>
      </c>
      <c r="E89" s="23" t="inlineStr">
        <is>
          <t>P1</t>
        </is>
      </c>
      <c r="F89" s="15" t="inlineStr">
        <is>
          <t>Specialist</t>
        </is>
      </c>
      <c r="G89" s="15" t="inlineStr">
        <is>
          <t>Daily poll ingests new events</t>
        </is>
      </c>
      <c r="H89" s="15" t="inlineStr">
        <is>
          <t>Subscribe a provider via tRPC.</t>
        </is>
      </c>
      <c r="I89" s="15" t="inlineStr">
        <is>
          <t>1. Drop sample CSV in /tmp/fsmb-pdc/inbox
2. Run nightly job</t>
        </is>
      </c>
      <c r="J89" s="15" t="inlineStr">
        <is>
          <t>Sample CSV</t>
        </is>
      </c>
      <c r="K89" s="15" t="inlineStr">
        <is>
          <t>FsmbPdcEvent rows created. MonitoringAlert raised for matched providers.</t>
        </is>
      </c>
      <c r="L89" s="15" t="inlineStr">
        <is>
          <t>Always-on national monitoring.</t>
        </is>
      </c>
      <c r="M89" s="15" t="inlineStr"/>
      <c r="N89" s="4" t="inlineStr"/>
      <c r="O89" s="15" t="inlineStr"/>
      <c r="P89" s="15" t="inlineStr"/>
      <c r="Q89" s="15" t="inlineStr"/>
      <c r="R89" s="15" t="inlineStr"/>
    </row>
    <row r="90" ht="45" customHeight="1">
      <c r="A90" s="4" t="inlineStr">
        <is>
          <t>TC-0088</t>
        </is>
      </c>
      <c r="B90" s="4" t="inlineStr">
        <is>
          <t>06 — Continuous Monitoring</t>
        </is>
      </c>
      <c r="C90" s="4" t="inlineStr">
        <is>
          <t>FSMB PDC</t>
        </is>
      </c>
      <c r="D90" s="16" t="inlineStr">
        <is>
          <t>Functional</t>
        </is>
      </c>
      <c r="E90" s="23" t="inlineStr">
        <is>
          <t>P1</t>
        </is>
      </c>
      <c r="F90" s="4" t="inlineStr">
        <is>
          <t>Specialist</t>
        </is>
      </c>
      <c r="G90" s="4" t="inlineStr">
        <is>
          <t>Webhook ingestion (real-time)</t>
        </is>
      </c>
      <c r="H90" s="4" t="inlineStr">
        <is>
          <t>Webhook secret configured.</t>
        </is>
      </c>
      <c r="I90" s="4" t="inlineStr">
        <is>
          <t>1. POST signed event to /api/webhooks/fsmb-pdc</t>
        </is>
      </c>
      <c r="J90" s="4" t="inlineStr">
        <is>
          <t>Signed JSON</t>
        </is>
      </c>
      <c r="K90" s="4" t="inlineStr">
        <is>
          <t>Event stored. Provider matched. Alert raised within seconds.</t>
        </is>
      </c>
      <c r="L90" s="4" t="inlineStr">
        <is>
          <t>Real-time path complements daily poll.</t>
        </is>
      </c>
      <c r="M90" s="4" t="inlineStr"/>
      <c r="N90" s="4" t="inlineStr"/>
      <c r="O90" s="4" t="inlineStr"/>
      <c r="P90" s="4" t="inlineStr"/>
      <c r="Q90" s="4" t="inlineStr"/>
      <c r="R90" s="4" t="inlineStr"/>
    </row>
    <row r="91" ht="45" customHeight="1">
      <c r="A91" s="15" t="inlineStr">
        <is>
          <t>TC-0089</t>
        </is>
      </c>
      <c r="B91" s="15" t="inlineStr">
        <is>
          <t>07 — Committee</t>
        </is>
      </c>
      <c r="C91" s="15" t="inlineStr">
        <is>
          <t>Sessions</t>
        </is>
      </c>
      <c r="D91" s="16" t="inlineStr">
        <is>
          <t>Functional</t>
        </is>
      </c>
      <c r="E91" s="17" t="inlineStr">
        <is>
          <t>P0</t>
        </is>
      </c>
      <c r="F91" s="15" t="inlineStr">
        <is>
          <t>Specialist</t>
        </is>
      </c>
      <c r="G91" s="15" t="inlineStr">
        <is>
          <t>Create new committee session</t>
        </is>
      </c>
      <c r="H91" s="15" t="inlineStr">
        <is>
          <t>Manager logged in.</t>
        </is>
      </c>
      <c r="I91" s="15" t="inlineStr">
        <is>
          <t>1. /committee → 'New Session'
2. Pick date, members
3. Save</t>
        </is>
      </c>
      <c r="J91" s="15" t="inlineStr">
        <is>
          <t>Date, members</t>
        </is>
      </c>
      <c r="K91" s="15" t="inlineStr">
        <is>
          <t>Session row created; agenda generation queued.</t>
        </is>
      </c>
      <c r="L91" s="15" t="inlineStr">
        <is>
          <t>First step of the committee flow.</t>
        </is>
      </c>
      <c r="M91" s="15" t="inlineStr"/>
      <c r="N91" s="4" t="inlineStr"/>
      <c r="O91" s="15" t="inlineStr"/>
      <c r="P91" s="15" t="inlineStr"/>
      <c r="Q91" s="15" t="inlineStr"/>
      <c r="R91" s="15" t="inlineStr"/>
    </row>
    <row r="92" ht="45" customHeight="1">
      <c r="A92" s="4" t="inlineStr">
        <is>
          <t>TC-0090</t>
        </is>
      </c>
      <c r="B92" s="4" t="inlineStr">
        <is>
          <t>07 — Committee</t>
        </is>
      </c>
      <c r="C92" s="4" t="inlineStr">
        <is>
          <t>Agenda</t>
        </is>
      </c>
      <c r="D92" s="16" t="inlineStr">
        <is>
          <t>Functional</t>
        </is>
      </c>
      <c r="E92" s="17" t="inlineStr">
        <is>
          <t>P0</t>
        </is>
      </c>
      <c r="F92" s="4" t="inlineStr">
        <is>
          <t>Specialist</t>
        </is>
      </c>
      <c r="G92" s="4" t="inlineStr">
        <is>
          <t>Auto-generated agenda lists all eligible providers</t>
        </is>
      </c>
      <c r="H92" s="4" t="inlineStr">
        <is>
          <t>5 providers in COMMITTEE_READY.</t>
        </is>
      </c>
      <c r="I92" s="4" t="inlineStr">
        <is>
          <t>1. Open session detail</t>
        </is>
      </c>
      <c r="J92" s="4" t="inlineStr">
        <is>
          <t>(none)</t>
        </is>
      </c>
      <c r="K92" s="4" t="inlineStr">
        <is>
          <t>Agenda shows 5 providers with summary sheet links.</t>
        </is>
      </c>
      <c r="L92" s="4" t="inlineStr">
        <is>
          <t>Committee should see exactly the right slate.</t>
        </is>
      </c>
      <c r="M92" s="4" t="inlineStr"/>
      <c r="N92" s="4" t="inlineStr"/>
      <c r="O92" s="4" t="inlineStr"/>
      <c r="P92" s="4" t="inlineStr"/>
      <c r="Q92" s="4" t="inlineStr"/>
      <c r="R92" s="4" t="inlineStr"/>
    </row>
    <row r="93" ht="45" customHeight="1">
      <c r="A93" s="15" t="inlineStr">
        <is>
          <t>TC-0091</t>
        </is>
      </c>
      <c r="B93" s="15" t="inlineStr">
        <is>
          <t>07 — Committee</t>
        </is>
      </c>
      <c r="C93" s="15" t="inlineStr">
        <is>
          <t>Summary sheet</t>
        </is>
      </c>
      <c r="D93" s="16" t="inlineStr">
        <is>
          <t>Functional</t>
        </is>
      </c>
      <c r="E93" s="17" t="inlineStr">
        <is>
          <t>P0</t>
        </is>
      </c>
      <c r="F93" s="15" t="inlineStr">
        <is>
          <t>Specialist</t>
        </is>
      </c>
      <c r="G93" s="15" t="inlineStr">
        <is>
          <t>Summary sheet PDF generated per provider</t>
        </is>
      </c>
      <c r="H93" s="15" t="inlineStr">
        <is>
          <t>Provider in committee.</t>
        </is>
      </c>
      <c r="I93" s="15" t="inlineStr">
        <is>
          <t>1. Click 'View summary' on agenda row</t>
        </is>
      </c>
      <c r="J93" s="15" t="inlineStr">
        <is>
          <t>(none)</t>
        </is>
      </c>
      <c r="K93" s="15" t="inlineStr">
        <is>
          <t>PDF opens with PSV results, exclusions, sanctions, work history, references.</t>
        </is>
      </c>
      <c r="L93" s="15" t="inlineStr">
        <is>
          <t>Committee decision depends on consolidated view.</t>
        </is>
      </c>
      <c r="M93" s="15" t="inlineStr"/>
      <c r="N93" s="4" t="inlineStr"/>
      <c r="O93" s="15" t="inlineStr"/>
      <c r="P93" s="15" t="inlineStr"/>
      <c r="Q93" s="15" t="inlineStr"/>
      <c r="R93" s="15" t="inlineStr"/>
    </row>
    <row r="94" ht="45" customHeight="1">
      <c r="A94" s="4" t="inlineStr">
        <is>
          <t>TC-0092</t>
        </is>
      </c>
      <c r="B94" s="4" t="inlineStr">
        <is>
          <t>07 — Committee</t>
        </is>
      </c>
      <c r="C94" s="4" t="inlineStr">
        <is>
          <t>Voting</t>
        </is>
      </c>
      <c r="D94" s="16" t="inlineStr">
        <is>
          <t>Functional</t>
        </is>
      </c>
      <c r="E94" s="17" t="inlineStr">
        <is>
          <t>P0</t>
        </is>
      </c>
      <c r="F94" s="4" t="inlineStr">
        <is>
          <t>Specialist</t>
        </is>
      </c>
      <c r="G94" s="4" t="inlineStr">
        <is>
          <t>Approve / defer / deny votes recorded</t>
        </is>
      </c>
      <c r="H94" s="4" t="inlineStr">
        <is>
          <t>Session in progress.</t>
        </is>
      </c>
      <c r="I94" s="4" t="inlineStr">
        <is>
          <t>1. As Committee member, vote 'Approve' on a provider</t>
        </is>
      </c>
      <c r="J94" s="4" t="inlineStr">
        <is>
          <t>(none)</t>
        </is>
      </c>
      <c r="K94" s="4" t="inlineStr">
        <is>
          <t>Vote stored. Provider status → APPROVED. approvedAt + approvedBy stamped.</t>
        </is>
      </c>
      <c r="L94" s="4" t="inlineStr">
        <is>
          <t>Decisions of record require traceability.</t>
        </is>
      </c>
      <c r="M94" s="4" t="inlineStr"/>
      <c r="N94" s="4" t="inlineStr"/>
      <c r="O94" s="4" t="inlineStr"/>
      <c r="P94" s="4" t="inlineStr"/>
      <c r="Q94" s="4" t="inlineStr"/>
      <c r="R94" s="4" t="inlineStr"/>
    </row>
    <row r="95" ht="45" customHeight="1">
      <c r="A95" s="15" t="inlineStr">
        <is>
          <t>TC-0093</t>
        </is>
      </c>
      <c r="B95" s="15" t="inlineStr">
        <is>
          <t>07 — Committee</t>
        </is>
      </c>
      <c r="C95" s="15" t="inlineStr">
        <is>
          <t>Voting</t>
        </is>
      </c>
      <c r="D95" s="21" t="inlineStr">
        <is>
          <t>Negative</t>
        </is>
      </c>
      <c r="E95" s="23" t="inlineStr">
        <is>
          <t>P1</t>
        </is>
      </c>
      <c r="F95" s="15" t="inlineStr">
        <is>
          <t>Specialist</t>
        </is>
      </c>
      <c r="G95" s="15" t="inlineStr">
        <is>
          <t>Cannot change vote after session closed</t>
        </is>
      </c>
      <c r="H95" s="15" t="inlineStr">
        <is>
          <t>Closed session.</t>
        </is>
      </c>
      <c r="I95" s="15" t="inlineStr">
        <is>
          <t>1. Try to vote</t>
        </is>
      </c>
      <c r="J95" s="15" t="inlineStr">
        <is>
          <t>(none)</t>
        </is>
      </c>
      <c r="K95" s="15" t="inlineStr">
        <is>
          <t>Action denied with clear message.</t>
        </is>
      </c>
      <c r="L95" s="15" t="inlineStr">
        <is>
          <t>Audit integrity for closed sessions.</t>
        </is>
      </c>
      <c r="M95" s="15" t="inlineStr"/>
      <c r="N95" s="4" t="inlineStr"/>
      <c r="O95" s="15" t="inlineStr"/>
      <c r="P95" s="15" t="inlineStr"/>
      <c r="Q95" s="15" t="inlineStr"/>
      <c r="R95" s="15" t="inlineStr"/>
    </row>
    <row r="96" ht="45" customHeight="1">
      <c r="A96" s="4" t="inlineStr">
        <is>
          <t>TC-0094</t>
        </is>
      </c>
      <c r="B96" s="4" t="inlineStr">
        <is>
          <t>07 — Committee</t>
        </is>
      </c>
      <c r="C96" s="4" t="inlineStr">
        <is>
          <t>Minutes</t>
        </is>
      </c>
      <c r="D96" s="16" t="inlineStr">
        <is>
          <t>Functional</t>
        </is>
      </c>
      <c r="E96" s="23" t="inlineStr">
        <is>
          <t>P1</t>
        </is>
      </c>
      <c r="F96" s="4" t="inlineStr">
        <is>
          <t>Specialist</t>
        </is>
      </c>
      <c r="G96" s="4" t="inlineStr">
        <is>
          <t>Minutes capture per session</t>
        </is>
      </c>
      <c r="H96" s="4" t="inlineStr">
        <is>
          <t>Session done.</t>
        </is>
      </c>
      <c r="I96" s="4" t="inlineStr">
        <is>
          <t>1. Add minutes text
2. Save</t>
        </is>
      </c>
      <c r="J96" s="4" t="inlineStr">
        <is>
          <t>Minutes</t>
        </is>
      </c>
      <c r="K96" s="4" t="inlineStr">
        <is>
          <t>PeerReviewMinute row created and linked.</t>
        </is>
      </c>
      <c r="L96" s="4" t="inlineStr">
        <is>
          <t>JC NPG 12 alignment for OPPE/FPPE flow.</t>
        </is>
      </c>
      <c r="M96" s="4" t="inlineStr"/>
      <c r="N96" s="4" t="inlineStr"/>
      <c r="O96" s="4" t="inlineStr"/>
      <c r="P96" s="4" t="inlineStr"/>
      <c r="Q96" s="4" t="inlineStr"/>
      <c r="R96" s="4" t="inlineStr"/>
    </row>
    <row r="97" ht="45" customHeight="1">
      <c r="A97" s="15" t="inlineStr">
        <is>
          <t>TC-0095</t>
        </is>
      </c>
      <c r="B97" s="15" t="inlineStr">
        <is>
          <t>08 — Enrollments &amp; Payers</t>
        </is>
      </c>
      <c r="C97" s="15" t="inlineStr">
        <is>
          <t>Direct enrollment</t>
        </is>
      </c>
      <c r="D97" s="16" t="inlineStr">
        <is>
          <t>Functional</t>
        </is>
      </c>
      <c r="E97" s="17" t="inlineStr">
        <is>
          <t>P0</t>
        </is>
      </c>
      <c r="F97" s="15" t="inlineStr">
        <is>
          <t>Specialist</t>
        </is>
      </c>
      <c r="G97" s="15" t="inlineStr">
        <is>
          <t>Create new direct enrollment</t>
        </is>
      </c>
      <c r="H97" s="15" t="inlineStr">
        <is>
          <t>Provider approved.</t>
        </is>
      </c>
      <c r="I97" s="15" t="inlineStr">
        <is>
          <t>1. /enrollments → New
2. Select payer + provider
3. Save</t>
        </is>
      </c>
      <c r="J97" s="15" t="inlineStr">
        <is>
          <t>Payer, provider</t>
        </is>
      </c>
      <c r="K97" s="15" t="inlineStr">
        <is>
          <t>Enrollment row PENDING. Task created for follow-up.</t>
        </is>
      </c>
      <c r="L97" s="15" t="inlineStr">
        <is>
          <t>Payer enrollment is revenue-critical.</t>
        </is>
      </c>
      <c r="M97" s="15" t="inlineStr"/>
      <c r="N97" s="4" t="inlineStr"/>
      <c r="O97" s="15" t="inlineStr"/>
      <c r="P97" s="15" t="inlineStr"/>
      <c r="Q97" s="15" t="inlineStr"/>
      <c r="R97" s="15" t="inlineStr"/>
    </row>
    <row r="98" ht="45" customHeight="1">
      <c r="A98" s="4" t="inlineStr">
        <is>
          <t>TC-0096</t>
        </is>
      </c>
      <c r="B98" s="4" t="inlineStr">
        <is>
          <t>08 — Enrollments &amp; Payers</t>
        </is>
      </c>
      <c r="C98" s="4" t="inlineStr">
        <is>
          <t>Status transitions</t>
        </is>
      </c>
      <c r="D98" s="16" t="inlineStr">
        <is>
          <t>Functional</t>
        </is>
      </c>
      <c r="E98" s="17" t="inlineStr">
        <is>
          <t>P0</t>
        </is>
      </c>
      <c r="F98" s="4" t="inlineStr">
        <is>
          <t>Specialist</t>
        </is>
      </c>
      <c r="G98" s="4" t="inlineStr">
        <is>
          <t>Status moves IN_PROGRESS → APPROVED</t>
        </is>
      </c>
      <c r="H98" s="4" t="inlineStr">
        <is>
          <t>Enrollment IN_PROGRESS.</t>
        </is>
      </c>
      <c r="I98" s="4" t="inlineStr">
        <is>
          <t>1. Edit → set ENROLLED with effectiveDate</t>
        </is>
      </c>
      <c r="J98" s="4" t="inlineStr">
        <is>
          <t>Date</t>
        </is>
      </c>
      <c r="K98" s="4" t="inlineStr">
        <is>
          <t>Status updates. effectiveDate stored. Audit log written.</t>
        </is>
      </c>
      <c r="L98" s="4" t="inlineStr">
        <is>
          <t>Effective date drives billing.</t>
        </is>
      </c>
      <c r="M98" s="4" t="inlineStr"/>
      <c r="N98" s="4" t="inlineStr"/>
      <c r="O98" s="4" t="inlineStr"/>
      <c r="P98" s="4" t="inlineStr"/>
      <c r="Q98" s="4" t="inlineStr"/>
      <c r="R98" s="4" t="inlineStr"/>
    </row>
    <row r="99" ht="45" customHeight="1">
      <c r="A99" s="15" t="inlineStr">
        <is>
          <t>TC-0097</t>
        </is>
      </c>
      <c r="B99" s="15" t="inlineStr">
        <is>
          <t>08 — Enrollments &amp; Payers</t>
        </is>
      </c>
      <c r="C99" s="15" t="inlineStr">
        <is>
          <t>Roster CSV</t>
        </is>
      </c>
      <c r="D99" s="16" t="inlineStr">
        <is>
          <t>Functional</t>
        </is>
      </c>
      <c r="E99" s="23" t="inlineStr">
        <is>
          <t>P1</t>
        </is>
      </c>
      <c r="F99" s="15" t="inlineStr">
        <is>
          <t>Specialist</t>
        </is>
      </c>
      <c r="G99" s="15" t="inlineStr">
        <is>
          <t>Generate payer roster CSV</t>
        </is>
      </c>
      <c r="H99" s="15" t="inlineStr">
        <is>
          <t>Multiple enrolled providers for payer X.</t>
        </is>
      </c>
      <c r="I99" s="15" t="inlineStr">
        <is>
          <t>1. /roster → choose payer
2. Generate</t>
        </is>
      </c>
      <c r="J99" s="15" t="inlineStr">
        <is>
          <t>Payer</t>
        </is>
      </c>
      <c r="K99" s="15" t="inlineStr">
        <is>
          <t>CSV downloaded matching payer's spec.</t>
        </is>
      </c>
      <c r="L99" s="15" t="inlineStr">
        <is>
          <t>Submitted monthly to payers.</t>
        </is>
      </c>
      <c r="M99" s="15" t="inlineStr"/>
      <c r="N99" s="4" t="inlineStr"/>
      <c r="O99" s="15" t="inlineStr"/>
      <c r="P99" s="15" t="inlineStr"/>
      <c r="Q99" s="15" t="inlineStr"/>
      <c r="R99" s="15" t="inlineStr"/>
    </row>
    <row r="100" ht="45" customHeight="1">
      <c r="A100" s="4" t="inlineStr">
        <is>
          <t>TC-0098</t>
        </is>
      </c>
      <c r="B100" s="4" t="inlineStr">
        <is>
          <t>08 — Enrollments &amp; Payers</t>
        </is>
      </c>
      <c r="C100" s="4" t="inlineStr">
        <is>
          <t>SFTP submission</t>
        </is>
      </c>
      <c r="D100" s="26" t="inlineStr">
        <is>
          <t>Integration</t>
        </is>
      </c>
      <c r="E100" s="17" t="inlineStr">
        <is>
          <t>P0</t>
        </is>
      </c>
      <c r="F100" s="4" t="inlineStr">
        <is>
          <t>Specialist</t>
        </is>
      </c>
      <c r="G100" s="4" t="inlineStr">
        <is>
          <t>Roster uploaded via real SFTP</t>
        </is>
      </c>
      <c r="H100" s="4" t="inlineStr">
        <is>
          <t>Per-payer SFTP config in env / Key Vault.</t>
        </is>
      </c>
      <c r="I100" s="4" t="inlineStr">
        <is>
          <t>1. Click 'Submit via SFTP'</t>
        </is>
      </c>
      <c r="J100" s="4" t="inlineStr">
        <is>
          <t>(none)</t>
        </is>
      </c>
      <c r="K100" s="4" t="inlineStr">
        <is>
          <t>Connection establishes (real ssh2-sftp-client). File appears on remote. RosterSubmission row created.</t>
        </is>
      </c>
      <c r="L100" s="4" t="inlineStr">
        <is>
          <t>Was stubbed; must hit real path.</t>
        </is>
      </c>
      <c r="M100" s="4" t="inlineStr"/>
      <c r="N100" s="4" t="inlineStr"/>
      <c r="O100" s="4" t="inlineStr"/>
      <c r="P100" s="4" t="inlineStr"/>
      <c r="Q100" s="4" t="inlineStr"/>
      <c r="R100" s="4" t="inlineStr"/>
    </row>
    <row r="101" ht="45" customHeight="1">
      <c r="A101" s="15" t="inlineStr">
        <is>
          <t>TC-0099</t>
        </is>
      </c>
      <c r="B101" s="15" t="inlineStr">
        <is>
          <t>08 — Enrollments &amp; Payers</t>
        </is>
      </c>
      <c r="C101" s="15" t="inlineStr">
        <is>
          <t>Ack polling</t>
        </is>
      </c>
      <c r="D101" s="26" t="inlineStr">
        <is>
          <t>Integration</t>
        </is>
      </c>
      <c r="E101" s="23" t="inlineStr">
        <is>
          <t>P1</t>
        </is>
      </c>
      <c r="F101" s="15" t="inlineStr">
        <is>
          <t>Specialist</t>
        </is>
      </c>
      <c r="G101" s="15" t="inlineStr">
        <is>
          <t>Ack file polled and parsed</t>
        </is>
      </c>
      <c r="H101" s="15" t="inlineStr">
        <is>
          <t>Drop sample ack on remote.</t>
        </is>
      </c>
      <c r="I101" s="15" t="inlineStr">
        <is>
          <t>1. Run ack-poll job</t>
        </is>
      </c>
      <c r="J101" s="15" t="inlineStr">
        <is>
          <t>Sample ack file</t>
        </is>
      </c>
      <c r="K101" s="15" t="inlineStr">
        <is>
          <t>RosterSubmission status updated to ACK_RECEIVED with details.</t>
        </is>
      </c>
      <c r="L101" s="15" t="inlineStr">
        <is>
          <t>Closes feedback loop without manual checking.</t>
        </is>
      </c>
      <c r="M101" s="15" t="inlineStr"/>
      <c r="N101" s="4" t="inlineStr"/>
      <c r="O101" s="15" t="inlineStr"/>
      <c r="P101" s="15" t="inlineStr"/>
      <c r="Q101" s="15" t="inlineStr"/>
      <c r="R101" s="15" t="inlineStr"/>
    </row>
    <row r="102" ht="45" customHeight="1">
      <c r="A102" s="4" t="inlineStr">
        <is>
          <t>TC-0100</t>
        </is>
      </c>
      <c r="B102" s="4" t="inlineStr">
        <is>
          <t>08 — Enrollments &amp; Payers</t>
        </is>
      </c>
      <c r="C102" s="4" t="inlineStr">
        <is>
          <t>Per-payer config</t>
        </is>
      </c>
      <c r="D102" s="16" t="inlineStr">
        <is>
          <t>Functional</t>
        </is>
      </c>
      <c r="E102" s="19" t="inlineStr">
        <is>
          <t>P2</t>
        </is>
      </c>
      <c r="F102" s="4" t="inlineStr">
        <is>
          <t>Specialist</t>
        </is>
      </c>
      <c r="G102" s="4" t="inlineStr">
        <is>
          <t>Different host/port per payer respected</t>
        </is>
      </c>
      <c r="H102" s="4" t="inlineStr">
        <is>
          <t>Two payers configured differently.</t>
        </is>
      </c>
      <c r="I102" s="4" t="inlineStr">
        <is>
          <t>1. Submit each</t>
        </is>
      </c>
      <c r="J102" s="4" t="inlineStr">
        <is>
          <t>(none)</t>
        </is>
      </c>
      <c r="K102" s="4" t="inlineStr">
        <is>
          <t>Each connects to its own host.</t>
        </is>
      </c>
      <c r="L102" s="4" t="inlineStr">
        <is>
          <t>Avoids cross-payer leakage.</t>
        </is>
      </c>
      <c r="M102" s="4" t="inlineStr"/>
      <c r="N102" s="4" t="inlineStr"/>
      <c r="O102" s="4" t="inlineStr"/>
      <c r="P102" s="4" t="inlineStr"/>
      <c r="Q102" s="4" t="inlineStr"/>
      <c r="R102" s="4" t="inlineStr"/>
    </row>
    <row r="103" ht="45" customHeight="1">
      <c r="A103" s="15" t="inlineStr">
        <is>
          <t>TC-0101</t>
        </is>
      </c>
      <c r="B103" s="15" t="inlineStr">
        <is>
          <t>09 — Expirables &amp; Recredentialing</t>
        </is>
      </c>
      <c r="C103" s="15" t="inlineStr">
        <is>
          <t>Expirables list</t>
        </is>
      </c>
      <c r="D103" s="16" t="inlineStr">
        <is>
          <t>Functional</t>
        </is>
      </c>
      <c r="E103" s="17" t="inlineStr">
        <is>
          <t>P0</t>
        </is>
      </c>
      <c r="F103" s="15" t="inlineStr">
        <is>
          <t>Specialist</t>
        </is>
      </c>
      <c r="G103" s="15" t="inlineStr">
        <is>
          <t>Expirables page shows ≤30d expiring items</t>
        </is>
      </c>
      <c r="H103" s="15" t="inlineStr">
        <is>
          <t>Several Expirable rows.</t>
        </is>
      </c>
      <c r="I103" s="15" t="inlineStr">
        <is>
          <t>1. /expirables</t>
        </is>
      </c>
      <c r="J103" s="15" t="inlineStr">
        <is>
          <t>(none)</t>
        </is>
      </c>
      <c r="K103" s="15" t="inlineStr">
        <is>
          <t>Filterable table by type/state. Color-coded by days remaining.</t>
        </is>
      </c>
      <c r="L103" s="15" t="inlineStr">
        <is>
          <t>Expired creds = NCQA finding + claim denial.</t>
        </is>
      </c>
      <c r="M103" s="15" t="inlineStr"/>
      <c r="N103" s="4" t="inlineStr"/>
      <c r="O103" s="15" t="inlineStr"/>
      <c r="P103" s="15" t="inlineStr"/>
      <c r="Q103" s="15" t="inlineStr"/>
      <c r="R103" s="15" t="inlineStr"/>
    </row>
    <row r="104" ht="45" customHeight="1">
      <c r="A104" s="4" t="inlineStr">
        <is>
          <t>TC-0102</t>
        </is>
      </c>
      <c r="B104" s="4" t="inlineStr">
        <is>
          <t>09 — Expirables &amp; Recredentialing</t>
        </is>
      </c>
      <c r="C104" s="4" t="inlineStr">
        <is>
          <t>Renewal automation</t>
        </is>
      </c>
      <c r="D104" s="16" t="inlineStr">
        <is>
          <t>Functional</t>
        </is>
      </c>
      <c r="E104" s="23" t="inlineStr">
        <is>
          <t>P1</t>
        </is>
      </c>
      <c r="F104" s="4" t="inlineStr">
        <is>
          <t>Specialist</t>
        </is>
      </c>
      <c r="G104" s="4" t="inlineStr">
        <is>
          <t>Email reminder at 90/60/30/15 days</t>
        </is>
      </c>
      <c r="H104" s="4" t="inlineStr">
        <is>
          <t>Expirable expiring in 31 days.</t>
        </is>
      </c>
      <c r="I104" s="4" t="inlineStr">
        <is>
          <t>1. Run expirables cron</t>
        </is>
      </c>
      <c r="J104" s="4" t="inlineStr">
        <is>
          <t>(none)</t>
        </is>
      </c>
      <c r="K104" s="4" t="inlineStr">
        <is>
          <t>30-day reminder email sent to provider. Notification log row.</t>
        </is>
      </c>
      <c r="L104" s="4" t="inlineStr">
        <is>
          <t>Proactive outreach prevents lapses.</t>
        </is>
      </c>
      <c r="M104" s="4" t="inlineStr"/>
      <c r="N104" s="4" t="inlineStr"/>
      <c r="O104" s="4" t="inlineStr"/>
      <c r="P104" s="4" t="inlineStr"/>
      <c r="Q104" s="4" t="inlineStr"/>
      <c r="R104" s="4" t="inlineStr"/>
    </row>
    <row r="105" ht="45" customHeight="1">
      <c r="A105" s="15" t="inlineStr">
        <is>
          <t>TC-0103</t>
        </is>
      </c>
      <c r="B105" s="15" t="inlineStr">
        <is>
          <t>09 — Expirables &amp; Recredentialing</t>
        </is>
      </c>
      <c r="C105" s="15" t="inlineStr">
        <is>
          <t>Recredentialing 36-mo</t>
        </is>
      </c>
      <c r="D105" s="16" t="inlineStr">
        <is>
          <t>Functional</t>
        </is>
      </c>
      <c r="E105" s="17" t="inlineStr">
        <is>
          <t>P0</t>
        </is>
      </c>
      <c r="F105" s="15" t="inlineStr">
        <is>
          <t>Specialist</t>
        </is>
      </c>
      <c r="G105" s="15" t="inlineStr">
        <is>
          <t>Cycle auto-initiated 6 months before due</t>
        </is>
      </c>
      <c r="H105" s="15" t="inlineStr">
        <is>
          <t>Provider lastRecredAt = 30 months ago.</t>
        </is>
      </c>
      <c r="I105" s="15" t="inlineStr">
        <is>
          <t>1. Run recredentialing cron</t>
        </is>
      </c>
      <c r="J105" s="15" t="inlineStr">
        <is>
          <t>(none)</t>
        </is>
      </c>
      <c r="K105" s="15" t="inlineStr">
        <is>
          <t>RecredentialingCycle row created with status=IN_PROGRESS.</t>
        </is>
      </c>
      <c r="L105" s="15" t="inlineStr">
        <is>
          <t>NCQA mandates 36-month recredentialing.</t>
        </is>
      </c>
      <c r="M105" s="15" t="inlineStr"/>
      <c r="N105" s="4" t="inlineStr"/>
      <c r="O105" s="15" t="inlineStr"/>
      <c r="P105" s="15" t="inlineStr"/>
      <c r="Q105" s="15" t="inlineStr"/>
      <c r="R105" s="15" t="inlineStr"/>
    </row>
    <row r="106" ht="45" customHeight="1">
      <c r="A106" s="4" t="inlineStr">
        <is>
          <t>TC-0104</t>
        </is>
      </c>
      <c r="B106" s="4" t="inlineStr">
        <is>
          <t>09 — Expirables &amp; Recredentialing</t>
        </is>
      </c>
      <c r="C106" s="4" t="inlineStr">
        <is>
          <t>Recredentialing UI</t>
        </is>
      </c>
      <c r="D106" s="16" t="inlineStr">
        <is>
          <t>Functional</t>
        </is>
      </c>
      <c r="E106" s="23" t="inlineStr">
        <is>
          <t>P1</t>
        </is>
      </c>
      <c r="F106" s="4" t="inlineStr">
        <is>
          <t>Specialist</t>
        </is>
      </c>
      <c r="G106" s="4" t="inlineStr">
        <is>
          <t>Bulk initiate cycles</t>
        </is>
      </c>
      <c r="H106" s="4" t="inlineStr">
        <is>
          <t>Manager logged in.</t>
        </is>
      </c>
      <c r="I106" s="4" t="inlineStr">
        <is>
          <t>1. /recredentialing → select N providers → 'Initiate'</t>
        </is>
      </c>
      <c r="J106" s="4" t="inlineStr">
        <is>
          <t>(none)</t>
        </is>
      </c>
      <c r="K106" s="4" t="inlineStr">
        <is>
          <t>All N cycles created. Tasks assigned.</t>
        </is>
      </c>
      <c r="L106" s="4" t="inlineStr">
        <is>
          <t>Reduces manual effort at scale.</t>
        </is>
      </c>
      <c r="M106" s="4" t="inlineStr"/>
      <c r="N106" s="4" t="inlineStr"/>
      <c r="O106" s="4" t="inlineStr"/>
      <c r="P106" s="4" t="inlineStr"/>
      <c r="Q106" s="4" t="inlineStr"/>
      <c r="R106" s="4" t="inlineStr"/>
    </row>
    <row r="107" ht="45" customHeight="1">
      <c r="A107" s="15" t="inlineStr">
        <is>
          <t>TC-0105</t>
        </is>
      </c>
      <c r="B107" s="15" t="inlineStr">
        <is>
          <t>09 — Expirables &amp; Recredentialing</t>
        </is>
      </c>
      <c r="C107" s="15" t="inlineStr">
        <is>
          <t>PSV SLA breach</t>
        </is>
      </c>
      <c r="D107" s="16" t="inlineStr">
        <is>
          <t>Functional</t>
        </is>
      </c>
      <c r="E107" s="17" t="inlineStr">
        <is>
          <t>P0</t>
        </is>
      </c>
      <c r="F107" s="15" t="inlineStr">
        <is>
          <t>Specialist</t>
        </is>
      </c>
      <c r="G107" s="15" t="inlineStr">
        <is>
          <t>Cycle in progress &gt;120d marked OVERDUE</t>
        </is>
      </c>
      <c r="H107" s="15" t="inlineStr">
        <is>
          <t>Cycle started 130d ago, not COMPLETED.</t>
        </is>
      </c>
      <c r="I107" s="15" t="inlineStr">
        <is>
          <t>1. View dashboard PSV SLA tile</t>
        </is>
      </c>
      <c r="J107" s="15" t="inlineStr">
        <is>
          <t>(none)</t>
        </is>
      </c>
      <c r="K107" s="15" t="inlineStr">
        <is>
          <t>Counts as recred overdue.</t>
        </is>
      </c>
      <c r="L107" s="15" t="inlineStr">
        <is>
          <t>NCQA timeline enforcement.</t>
        </is>
      </c>
      <c r="M107" s="15" t="inlineStr"/>
      <c r="N107" s="4" t="inlineStr"/>
      <c r="O107" s="15" t="inlineStr"/>
      <c r="P107" s="15" t="inlineStr"/>
      <c r="Q107" s="15" t="inlineStr"/>
      <c r="R107" s="15" t="inlineStr"/>
    </row>
    <row r="108" ht="45" customHeight="1">
      <c r="A108" s="4" t="inlineStr">
        <is>
          <t>TC-0106</t>
        </is>
      </c>
      <c r="B108" s="4" t="inlineStr">
        <is>
          <t>10 — Telehealth</t>
        </is>
      </c>
      <c r="C108" s="4" t="inlineStr">
        <is>
          <t>Provider page panel</t>
        </is>
      </c>
      <c r="D108" s="16" t="inlineStr">
        <is>
          <t>Functional</t>
        </is>
      </c>
      <c r="E108" s="23" t="inlineStr">
        <is>
          <t>P1</t>
        </is>
      </c>
      <c r="F108" s="4" t="inlineStr">
        <is>
          <t>Specialist</t>
        </is>
      </c>
      <c r="G108" s="4" t="inlineStr">
        <is>
          <t>Telehealth panel lists active platform certs</t>
        </is>
      </c>
      <c r="H108" s="4" t="inlineStr">
        <is>
          <t>Provider with 2 platform certs.</t>
        </is>
      </c>
      <c r="I108" s="4" t="inlineStr">
        <is>
          <t>1. Open provider /telehealth panel</t>
        </is>
      </c>
      <c r="J108" s="4" t="inlineStr">
        <is>
          <t>(none)</t>
        </is>
      </c>
      <c r="K108" s="4" t="inlineStr">
        <is>
          <t>Both certs listed with platform, status, expiry.</t>
        </is>
      </c>
      <c r="L108" s="4" t="inlineStr">
        <is>
          <t>Platform compliance is contractual.</t>
        </is>
      </c>
      <c r="M108" s="4" t="inlineStr"/>
      <c r="N108" s="4" t="inlineStr"/>
      <c r="O108" s="4" t="inlineStr"/>
      <c r="P108" s="4" t="inlineStr"/>
      <c r="Q108" s="4" t="inlineStr"/>
      <c r="R108" s="4" t="inlineStr"/>
    </row>
    <row r="109" ht="45" customHeight="1">
      <c r="A109" s="15" t="inlineStr">
        <is>
          <t>TC-0107</t>
        </is>
      </c>
      <c r="B109" s="15" t="inlineStr">
        <is>
          <t>10 — Telehealth</t>
        </is>
      </c>
      <c r="C109" s="15" t="inlineStr">
        <is>
          <t>IMLC</t>
        </is>
      </c>
      <c r="D109" s="16" t="inlineStr">
        <is>
          <t>Functional</t>
        </is>
      </c>
      <c r="E109" s="23" t="inlineStr">
        <is>
          <t>P1</t>
        </is>
      </c>
      <c r="F109" s="15" t="inlineStr">
        <is>
          <t>Specialist</t>
        </is>
      </c>
      <c r="G109" s="15" t="inlineStr">
        <is>
          <t>IMLC eligibility evaluation</t>
        </is>
      </c>
      <c r="H109" s="15" t="inlineStr">
        <is>
          <t>MD with single state license.</t>
        </is>
      </c>
      <c r="I109" s="15" t="inlineStr">
        <is>
          <t>1. Click 'Evaluate IMLC'</t>
        </is>
      </c>
      <c r="J109" s="15" t="inlineStr">
        <is>
          <t>(none)</t>
        </is>
      </c>
      <c r="K109" s="15" t="inlineStr">
        <is>
          <t>Result with reasons (clean record, board cert, no actions).</t>
        </is>
      </c>
      <c r="L109" s="15" t="inlineStr">
        <is>
          <t>IMLC pathway is faster multi-state licensure.</t>
        </is>
      </c>
      <c r="M109" s="15" t="inlineStr"/>
      <c r="N109" s="4" t="inlineStr"/>
      <c r="O109" s="15" t="inlineStr"/>
      <c r="P109" s="15" t="inlineStr"/>
      <c r="Q109" s="15" t="inlineStr"/>
      <c r="R109" s="15" t="inlineStr"/>
    </row>
    <row r="110" ht="45" customHeight="1">
      <c r="A110" s="4" t="inlineStr">
        <is>
          <t>TC-0108</t>
        </is>
      </c>
      <c r="B110" s="4" t="inlineStr">
        <is>
          <t>10 — Telehealth</t>
        </is>
      </c>
      <c r="C110" s="4" t="inlineStr">
        <is>
          <t>Coverage gap</t>
        </is>
      </c>
      <c r="D110" s="25" t="inlineStr">
        <is>
          <t>Data</t>
        </is>
      </c>
      <c r="E110" s="23" t="inlineStr">
        <is>
          <t>P1</t>
        </is>
      </c>
      <c r="F110" s="4" t="inlineStr">
        <is>
          <t>Specialist</t>
        </is>
      </c>
      <c r="G110" s="4" t="inlineStr">
        <is>
          <t>License gap raises alert</t>
        </is>
      </c>
      <c r="H110" s="4" t="inlineStr">
        <is>
          <t>Provider claims telehealth in TX with no TX license + no IMLC.</t>
        </is>
      </c>
      <c r="I110" s="4" t="inlineStr">
        <is>
          <t>1. Run telehealth coverage job</t>
        </is>
      </c>
      <c r="J110" s="4" t="inlineStr">
        <is>
          <t>(none)</t>
        </is>
      </c>
      <c r="K110" s="4" t="inlineStr">
        <is>
          <t>MonitoringAlert raised: TELEHEALTH_LICENSE_GAP.</t>
        </is>
      </c>
      <c r="L110" s="4" t="inlineStr">
        <is>
          <t>Practicing without license = serious legal exposure.</t>
        </is>
      </c>
      <c r="M110" s="4" t="inlineStr"/>
      <c r="N110" s="4" t="inlineStr"/>
      <c r="O110" s="4" t="inlineStr"/>
      <c r="P110" s="4" t="inlineStr"/>
      <c r="Q110" s="4" t="inlineStr"/>
      <c r="R110" s="4" t="inlineStr"/>
    </row>
    <row r="111" ht="45" customHeight="1">
      <c r="A111" s="15" t="inlineStr">
        <is>
          <t>TC-0109</t>
        </is>
      </c>
      <c r="B111" s="15" t="inlineStr">
        <is>
          <t>11 — Compliance Readiness</t>
        </is>
      </c>
      <c r="C111" s="15" t="inlineStr">
        <is>
          <t>Dashboard</t>
        </is>
      </c>
      <c r="D111" s="16" t="inlineStr">
        <is>
          <t>Functional</t>
        </is>
      </c>
      <c r="E111" s="23" t="inlineStr">
        <is>
          <t>P1</t>
        </is>
      </c>
      <c r="F111" s="15" t="inlineStr">
        <is>
          <t>Specialist</t>
        </is>
      </c>
      <c r="G111" s="15" t="inlineStr">
        <is>
          <t>Both framework cards render with %</t>
        </is>
      </c>
      <c r="H111" s="15" t="inlineStr">
        <is>
          <t>Seed controls applied.</t>
        </is>
      </c>
      <c r="I111" s="15" t="inlineStr">
        <is>
          <t>1. /compliance</t>
        </is>
      </c>
      <c r="J111" s="15" t="inlineStr">
        <is>
          <t>(none)</t>
        </is>
      </c>
      <c r="K111" s="15" t="inlineStr">
        <is>
          <t>HITRUST + SOC2 cards show % readiness, status counts, upcoming audits.</t>
        </is>
      </c>
      <c r="L111" s="15" t="inlineStr">
        <is>
          <t>Self-attestation tool for major audits.</t>
        </is>
      </c>
      <c r="M111" s="15" t="inlineStr"/>
      <c r="N111" s="4" t="inlineStr"/>
      <c r="O111" s="15" t="inlineStr"/>
      <c r="P111" s="15" t="inlineStr"/>
      <c r="Q111" s="15" t="inlineStr"/>
      <c r="R111" s="15" t="inlineStr"/>
    </row>
    <row r="112" ht="45" customHeight="1">
      <c r="A112" s="4" t="inlineStr">
        <is>
          <t>TC-0110</t>
        </is>
      </c>
      <c r="B112" s="4" t="inlineStr">
        <is>
          <t>11 — Compliance Readiness</t>
        </is>
      </c>
      <c r="C112" s="4" t="inlineStr">
        <is>
          <t>Control detail</t>
        </is>
      </c>
      <c r="D112" s="16" t="inlineStr">
        <is>
          <t>Functional</t>
        </is>
      </c>
      <c r="E112" s="23" t="inlineStr">
        <is>
          <t>P1</t>
        </is>
      </c>
      <c r="F112" s="4" t="inlineStr">
        <is>
          <t>Specialist</t>
        </is>
      </c>
      <c r="G112" s="4" t="inlineStr">
        <is>
          <t>Update status + add evidence</t>
        </is>
      </c>
      <c r="H112" s="4" t="inlineStr">
        <is>
          <t>Open a control.</t>
        </is>
      </c>
      <c r="I112" s="4" t="inlineStr">
        <is>
          <t>1. Change status to IMPLEMENTED
2. Add evidence row</t>
        </is>
      </c>
      <c r="J112" s="4" t="inlineStr">
        <is>
          <t>Evidence URL, type</t>
        </is>
      </c>
      <c r="K112" s="4" t="inlineStr">
        <is>
          <t>Status saved. Evidence appears. % readiness on dashboard updates.</t>
        </is>
      </c>
      <c r="L112" s="4" t="inlineStr">
        <is>
          <t>Continuous tracking required for HITRUST r2.</t>
        </is>
      </c>
      <c r="M112" s="4" t="inlineStr"/>
      <c r="N112" s="4" t="inlineStr"/>
      <c r="O112" s="4" t="inlineStr"/>
      <c r="P112" s="4" t="inlineStr"/>
      <c r="Q112" s="4" t="inlineStr"/>
      <c r="R112" s="4" t="inlineStr"/>
    </row>
    <row r="113" ht="45" customHeight="1">
      <c r="A113" s="15" t="inlineStr">
        <is>
          <t>TC-0111</t>
        </is>
      </c>
      <c r="B113" s="15" t="inlineStr">
        <is>
          <t>11 — Compliance Readiness</t>
        </is>
      </c>
      <c r="C113" s="15" t="inlineStr">
        <is>
          <t>Gap log</t>
        </is>
      </c>
      <c r="D113" s="16" t="inlineStr">
        <is>
          <t>Functional</t>
        </is>
      </c>
      <c r="E113" s="23" t="inlineStr">
        <is>
          <t>P1</t>
        </is>
      </c>
      <c r="F113" s="15" t="inlineStr">
        <is>
          <t>Specialist</t>
        </is>
      </c>
      <c r="G113" s="15" t="inlineStr">
        <is>
          <t>Log a gap, set severity</t>
        </is>
      </c>
      <c r="H113" s="15" t="inlineStr">
        <is>
          <t>Open control.</t>
        </is>
      </c>
      <c r="I113" s="15" t="inlineStr">
        <is>
          <t>1. Click 'Log gap'
2. Set severity HIGH</t>
        </is>
      </c>
      <c r="J113" s="15" t="inlineStr">
        <is>
          <t>Description, severity</t>
        </is>
      </c>
      <c r="K113" s="15" t="inlineStr">
        <is>
          <t>Gap appears in dashboard count for that severity.</t>
        </is>
      </c>
      <c r="L113" s="15" t="inlineStr">
        <is>
          <t>Audit-ready gap remediation tracking.</t>
        </is>
      </c>
      <c r="M113" s="15" t="inlineStr"/>
      <c r="N113" s="4" t="inlineStr"/>
      <c r="O113" s="15" t="inlineStr"/>
      <c r="P113" s="15" t="inlineStr"/>
      <c r="Q113" s="15" t="inlineStr"/>
      <c r="R113" s="15" t="inlineStr"/>
    </row>
    <row r="114" ht="45" customHeight="1">
      <c r="A114" s="4" t="inlineStr">
        <is>
          <t>TC-0112</t>
        </is>
      </c>
      <c r="B114" s="4" t="inlineStr">
        <is>
          <t>12 — AI Governance</t>
        </is>
      </c>
      <c r="C114" s="4" t="inlineStr">
        <is>
          <t>Model cards</t>
        </is>
      </c>
      <c r="D114" s="16" t="inlineStr">
        <is>
          <t>Functional</t>
        </is>
      </c>
      <c r="E114" s="19" t="inlineStr">
        <is>
          <t>P2</t>
        </is>
      </c>
      <c r="F114" s="4" t="inlineStr">
        <is>
          <t>Specialist</t>
        </is>
      </c>
      <c r="G114" s="4" t="inlineStr">
        <is>
          <t>Model card list page</t>
        </is>
      </c>
      <c r="H114" s="4" t="inlineStr">
        <is>
          <t>Seeded model cards.</t>
        </is>
      </c>
      <c r="I114" s="4" t="inlineStr">
        <is>
          <t>1. /admin/ai-governance</t>
        </is>
      </c>
      <c r="J114" s="4" t="inlineStr">
        <is>
          <t>(none)</t>
        </is>
      </c>
      <c r="K114" s="4" t="inlineStr">
        <is>
          <t>All cards listed with name, riskLevel, owner.</t>
        </is>
      </c>
      <c r="L114" s="4" t="inlineStr">
        <is>
          <t>Required for NCQA AI accountability.</t>
        </is>
      </c>
      <c r="M114" s="4" t="inlineStr"/>
      <c r="N114" s="4" t="inlineStr"/>
      <c r="O114" s="4" t="inlineStr"/>
      <c r="P114" s="4" t="inlineStr"/>
      <c r="Q114" s="4" t="inlineStr"/>
      <c r="R114" s="4" t="inlineStr"/>
    </row>
    <row r="115" ht="45" customHeight="1">
      <c r="A115" s="15" t="inlineStr">
        <is>
          <t>TC-0113</t>
        </is>
      </c>
      <c r="B115" s="15" t="inlineStr">
        <is>
          <t>12 — AI Governance</t>
        </is>
      </c>
      <c r="C115" s="15" t="inlineStr">
        <is>
          <t>Decision log</t>
        </is>
      </c>
      <c r="D115" s="25" t="inlineStr">
        <is>
          <t>Data</t>
        </is>
      </c>
      <c r="E115" s="19" t="inlineStr">
        <is>
          <t>P2</t>
        </is>
      </c>
      <c r="F115" s="15" t="inlineStr">
        <is>
          <t>Specialist</t>
        </is>
      </c>
      <c r="G115" s="15" t="inlineStr">
        <is>
          <t>AI chat decision logged</t>
        </is>
      </c>
      <c r="H115" s="15" t="inlineStr">
        <is>
          <t>Send a chat msg.</t>
        </is>
      </c>
      <c r="I115" s="15" t="inlineStr">
        <is>
          <t>1. Send msg in provider portal AI
2. Inspect AiDecisionLog</t>
        </is>
      </c>
      <c r="J115" s="15" t="inlineStr">
        <is>
          <t>(none)</t>
        </is>
      </c>
      <c r="K115" s="15" t="inlineStr">
        <is>
          <t>Row created with model, prompt-hash, response-hash, latency, tokens, providerId.</t>
        </is>
      </c>
      <c r="L115" s="15" t="inlineStr">
        <is>
          <t>Required to audit AI behavior over time.</t>
        </is>
      </c>
      <c r="M115" s="15" t="inlineStr"/>
      <c r="N115" s="4" t="inlineStr"/>
      <c r="O115" s="15" t="inlineStr"/>
      <c r="P115" s="15" t="inlineStr"/>
      <c r="Q115" s="15" t="inlineStr"/>
      <c r="R115" s="15" t="inlineStr"/>
    </row>
    <row r="116" ht="45" customHeight="1">
      <c r="A116" s="4" t="inlineStr">
        <is>
          <t>TC-0114</t>
        </is>
      </c>
      <c r="B116" s="4" t="inlineStr">
        <is>
          <t>13 — Public REST API &amp; FHIR</t>
        </is>
      </c>
      <c r="C116" s="4" t="inlineStr">
        <is>
          <t>Auth</t>
        </is>
      </c>
      <c r="D116" s="22" t="inlineStr">
        <is>
          <t>Security</t>
        </is>
      </c>
      <c r="E116" s="17" t="inlineStr">
        <is>
          <t>P0</t>
        </is>
      </c>
      <c r="F116" s="4" t="inlineStr">
        <is>
          <t>Specialist</t>
        </is>
      </c>
      <c r="G116" s="4" t="inlineStr">
        <is>
          <t>Missing API key → 401</t>
        </is>
      </c>
      <c r="H116" s="4" t="inlineStr">
        <is>
          <t>API key middleware active.</t>
        </is>
      </c>
      <c r="I116" s="4" t="inlineStr">
        <is>
          <t>1. curl /api/v1/providers without key</t>
        </is>
      </c>
      <c r="J116" s="4" t="inlineStr">
        <is>
          <t>(none)</t>
        </is>
      </c>
      <c r="K116" s="4" t="inlineStr">
        <is>
          <t>401 with WWW-Authenticate header.</t>
        </is>
      </c>
      <c r="L116" s="4" t="inlineStr">
        <is>
          <t>Public API must reject unauthenticated traffic.</t>
        </is>
      </c>
      <c r="M116" s="4" t="inlineStr"/>
      <c r="N116" s="4" t="inlineStr"/>
      <c r="O116" s="4" t="inlineStr"/>
      <c r="P116" s="4" t="inlineStr"/>
      <c r="Q116" s="4" t="inlineStr"/>
      <c r="R116" s="4" t="inlineStr"/>
    </row>
    <row r="117" ht="45" customHeight="1">
      <c r="A117" s="15" t="inlineStr">
        <is>
          <t>TC-0115</t>
        </is>
      </c>
      <c r="B117" s="15" t="inlineStr">
        <is>
          <t>13 — Public REST API &amp; FHIR</t>
        </is>
      </c>
      <c r="C117" s="15" t="inlineStr">
        <is>
          <t>Auth</t>
        </is>
      </c>
      <c r="D117" s="22" t="inlineStr">
        <is>
          <t>Security</t>
        </is>
      </c>
      <c r="E117" s="17" t="inlineStr">
        <is>
          <t>P0</t>
        </is>
      </c>
      <c r="F117" s="15" t="inlineStr">
        <is>
          <t>Specialist</t>
        </is>
      </c>
      <c r="G117" s="15" t="inlineStr">
        <is>
          <t>API key SHA-256 hashed in DB</t>
        </is>
      </c>
      <c r="H117" s="15" t="inlineStr">
        <is>
          <t>Create API key.</t>
        </is>
      </c>
      <c r="I117" s="15" t="inlineStr">
        <is>
          <t>1. Inspect ApiKey table</t>
        </is>
      </c>
      <c r="J117" s="15" t="inlineStr">
        <is>
          <t>(none)</t>
        </is>
      </c>
      <c r="K117" s="15" t="inlineStr">
        <is>
          <t>keyHash present. Plaintext never stored. Plaintext returned only on creation.</t>
        </is>
      </c>
      <c r="L117" s="15" t="inlineStr">
        <is>
          <t>If DB leaks, keys are not usable.</t>
        </is>
      </c>
      <c r="M117" s="15" t="inlineStr"/>
      <c r="N117" s="4" t="inlineStr"/>
      <c r="O117" s="15" t="inlineStr"/>
      <c r="P117" s="15" t="inlineStr"/>
      <c r="Q117" s="15" t="inlineStr"/>
      <c r="R117" s="15" t="inlineStr"/>
    </row>
    <row r="118" ht="45" customHeight="1">
      <c r="A118" s="4" t="inlineStr">
        <is>
          <t>TC-0116</t>
        </is>
      </c>
      <c r="B118" s="4" t="inlineStr">
        <is>
          <t>13 — Public REST API &amp; FHIR</t>
        </is>
      </c>
      <c r="C118" s="4" t="inlineStr">
        <is>
          <t>Rate limit</t>
        </is>
      </c>
      <c r="D118" s="28" t="inlineStr">
        <is>
          <t>Performance</t>
        </is>
      </c>
      <c r="E118" s="23" t="inlineStr">
        <is>
          <t>P1</t>
        </is>
      </c>
      <c r="F118" s="4" t="inlineStr">
        <is>
          <t>Specialist</t>
        </is>
      </c>
      <c r="G118" s="4" t="inlineStr">
        <is>
          <t>429 after threshold</t>
        </is>
      </c>
      <c r="H118" s="4" t="inlineStr">
        <is>
          <t>API key with low limit.</t>
        </is>
      </c>
      <c r="I118" s="4" t="inlineStr">
        <is>
          <t>1. Spam 200 reqs/min</t>
        </is>
      </c>
      <c r="J118" s="4" t="inlineStr">
        <is>
          <t>(none)</t>
        </is>
      </c>
      <c r="K118" s="4" t="inlineStr">
        <is>
          <t>After threshold, 429 with Retry-After.</t>
        </is>
      </c>
      <c r="L118" s="4" t="inlineStr">
        <is>
          <t>Prevents abuse / runaway integrations.</t>
        </is>
      </c>
      <c r="M118" s="4" t="inlineStr"/>
      <c r="N118" s="4" t="inlineStr"/>
      <c r="O118" s="4" t="inlineStr"/>
      <c r="P118" s="4" t="inlineStr"/>
      <c r="Q118" s="4" t="inlineStr"/>
      <c r="R118" s="4" t="inlineStr"/>
    </row>
    <row r="119" ht="45" customHeight="1">
      <c r="A119" s="15" t="inlineStr">
        <is>
          <t>TC-0117</t>
        </is>
      </c>
      <c r="B119" s="15" t="inlineStr">
        <is>
          <t>13 — Public REST API &amp; FHIR</t>
        </is>
      </c>
      <c r="C119" s="15" t="inlineStr">
        <is>
          <t>Providers list</t>
        </is>
      </c>
      <c r="D119" s="18" t="inlineStr">
        <is>
          <t>API</t>
        </is>
      </c>
      <c r="E119" s="17" t="inlineStr">
        <is>
          <t>P0</t>
        </is>
      </c>
      <c r="F119" s="15" t="inlineStr">
        <is>
          <t>Specialist</t>
        </is>
      </c>
      <c r="G119" s="15" t="inlineStr">
        <is>
          <t>GET /api/v1/providers paginates</t>
        </is>
      </c>
      <c r="H119" s="15" t="inlineStr">
        <is>
          <t>Many providers.</t>
        </is>
      </c>
      <c r="I119" s="15" t="inlineStr">
        <is>
          <t>1. curl with valid key</t>
        </is>
      </c>
      <c r="J119" s="15" t="inlineStr">
        <is>
          <t>(none)</t>
        </is>
      </c>
      <c r="K119" s="15" t="inlineStr">
        <is>
          <t>JSON list with pagination headers/links. PHI fields excluded.</t>
        </is>
      </c>
      <c r="L119" s="15" t="inlineStr">
        <is>
          <t>Public API must not leak PHI.</t>
        </is>
      </c>
      <c r="M119" s="15" t="inlineStr"/>
      <c r="N119" s="4" t="inlineStr"/>
      <c r="O119" s="15" t="inlineStr"/>
      <c r="P119" s="15" t="inlineStr"/>
      <c r="Q119" s="15" t="inlineStr"/>
      <c r="R119" s="15" t="inlineStr"/>
    </row>
    <row r="120" ht="45" customHeight="1">
      <c r="A120" s="4" t="inlineStr">
        <is>
          <t>TC-0118</t>
        </is>
      </c>
      <c r="B120" s="4" t="inlineStr">
        <is>
          <t>13 — Public REST API &amp; FHIR</t>
        </is>
      </c>
      <c r="C120" s="4" t="inlineStr">
        <is>
          <t>FHIR Practitioner</t>
        </is>
      </c>
      <c r="D120" s="18" t="inlineStr">
        <is>
          <t>API</t>
        </is>
      </c>
      <c r="E120" s="17" t="inlineStr">
        <is>
          <t>P0</t>
        </is>
      </c>
      <c r="F120" s="4" t="inlineStr">
        <is>
          <t>Specialist</t>
        </is>
      </c>
      <c r="G120" s="4" t="inlineStr">
        <is>
          <t>GET /api/fhir/Practitioner returns FHIR R4 Bundle</t>
        </is>
      </c>
      <c r="H120" s="4" t="inlineStr">
        <is>
          <t>Seeded practitioners + fhir:read scope.</t>
        </is>
      </c>
      <c r="I120" s="4" t="inlineStr">
        <is>
          <t>1. curl /api/fhir/Practitioner</t>
        </is>
      </c>
      <c r="J120" s="4" t="inlineStr">
        <is>
          <t>(none)</t>
        </is>
      </c>
      <c r="K120" s="4" t="inlineStr">
        <is>
          <t>Bundle JSON validates against FHIR R4 schema. resourceType=Bundle, type=searchset.</t>
        </is>
      </c>
      <c r="L120" s="4" t="inlineStr">
        <is>
          <t>CMS-0057-F mandates FHIR provider directory.</t>
        </is>
      </c>
      <c r="M120" s="4" t="inlineStr"/>
      <c r="N120" s="4" t="inlineStr"/>
      <c r="O120" s="4" t="inlineStr"/>
      <c r="P120" s="4" t="inlineStr"/>
      <c r="Q120" s="4" t="inlineStr"/>
      <c r="R120" s="4" t="inlineStr"/>
    </row>
    <row r="121" ht="45" customHeight="1">
      <c r="A121" s="15" t="inlineStr">
        <is>
          <t>TC-0119</t>
        </is>
      </c>
      <c r="B121" s="15" t="inlineStr">
        <is>
          <t>13 — Public REST API &amp; FHIR</t>
        </is>
      </c>
      <c r="C121" s="15" t="inlineStr">
        <is>
          <t>FHIR Practitioner read</t>
        </is>
      </c>
      <c r="D121" s="18" t="inlineStr">
        <is>
          <t>API</t>
        </is>
      </c>
      <c r="E121" s="17" t="inlineStr">
        <is>
          <t>P0</t>
        </is>
      </c>
      <c r="F121" s="15" t="inlineStr">
        <is>
          <t>Specialist</t>
        </is>
      </c>
      <c r="G121" s="15" t="inlineStr">
        <is>
          <t>GET /api/fhir/Practitioner/&lt;id&gt;</t>
        </is>
      </c>
      <c r="H121" s="15" t="inlineStr">
        <is>
          <t>(see above)</t>
        </is>
      </c>
      <c r="I121" s="15" t="inlineStr">
        <is>
          <t>1. curl /Practitioner/&lt;id&gt;</t>
        </is>
      </c>
      <c r="J121" s="15" t="inlineStr">
        <is>
          <t>(none)</t>
        </is>
      </c>
      <c r="K121" s="15" t="inlineStr">
        <is>
          <t>FHIR Practitioner resource with identifier (NPI), name, qualification[].</t>
        </is>
      </c>
      <c r="L121" s="15" t="inlineStr">
        <is>
          <t>Per-resource read.</t>
        </is>
      </c>
      <c r="M121" s="15" t="inlineStr"/>
      <c r="N121" s="4" t="inlineStr"/>
      <c r="O121" s="15" t="inlineStr"/>
      <c r="P121" s="15" t="inlineStr"/>
      <c r="Q121" s="15" t="inlineStr"/>
      <c r="R121" s="15" t="inlineStr"/>
    </row>
    <row r="122" ht="45" customHeight="1">
      <c r="A122" s="4" t="inlineStr">
        <is>
          <t>TC-0120</t>
        </is>
      </c>
      <c r="B122" s="4" t="inlineStr">
        <is>
          <t>13 — Public REST API &amp; FHIR</t>
        </is>
      </c>
      <c r="C122" s="4" t="inlineStr">
        <is>
          <t>FHIR PractitionerRole</t>
        </is>
      </c>
      <c r="D122" s="18" t="inlineStr">
        <is>
          <t>API</t>
        </is>
      </c>
      <c r="E122" s="23" t="inlineStr">
        <is>
          <t>P1</t>
        </is>
      </c>
      <c r="F122" s="4" t="inlineStr">
        <is>
          <t>Specialist</t>
        </is>
      </c>
      <c r="G122" s="4" t="inlineStr">
        <is>
          <t>Search by practitioner</t>
        </is>
      </c>
      <c r="H122" s="4" t="inlineStr">
        <is>
          <t>Linked roles seeded.</t>
        </is>
      </c>
      <c r="I122" s="4" t="inlineStr">
        <is>
          <t>1. curl /PractitionerRole?practitioner=&lt;id&gt;</t>
        </is>
      </c>
      <c r="J122" s="4" t="inlineStr">
        <is>
          <t>(none)</t>
        </is>
      </c>
      <c r="K122" s="4" t="inlineStr">
        <is>
          <t>Bundle filtered to that practitioner.</t>
        </is>
      </c>
      <c r="L122" s="4" t="inlineStr">
        <is>
          <t>Standard search params.</t>
        </is>
      </c>
      <c r="M122" s="4" t="inlineStr"/>
      <c r="N122" s="4" t="inlineStr"/>
      <c r="O122" s="4" t="inlineStr"/>
      <c r="P122" s="4" t="inlineStr"/>
      <c r="Q122" s="4" t="inlineStr"/>
      <c r="R122" s="4" t="inlineStr"/>
    </row>
    <row r="123" ht="45" customHeight="1">
      <c r="A123" s="15" t="inlineStr">
        <is>
          <t>TC-0121</t>
        </is>
      </c>
      <c r="B123" s="15" t="inlineStr">
        <is>
          <t>13 — Public REST API &amp; FHIR</t>
        </is>
      </c>
      <c r="C123" s="15" t="inlineStr">
        <is>
          <t>FHIR metadata</t>
        </is>
      </c>
      <c r="D123" s="18" t="inlineStr">
        <is>
          <t>API</t>
        </is>
      </c>
      <c r="E123" s="23" t="inlineStr">
        <is>
          <t>P1</t>
        </is>
      </c>
      <c r="F123" s="15" t="inlineStr">
        <is>
          <t>Specialist</t>
        </is>
      </c>
      <c r="G123" s="15" t="inlineStr">
        <is>
          <t>CapabilityStatement returned</t>
        </is>
      </c>
      <c r="H123" s="15" t="inlineStr">
        <is>
          <t>API up.</t>
        </is>
      </c>
      <c r="I123" s="15" t="inlineStr">
        <is>
          <t>1. curl /api/fhir/metadata</t>
        </is>
      </c>
      <c r="J123" s="15" t="inlineStr">
        <is>
          <t>(none)</t>
        </is>
      </c>
      <c r="K123" s="15" t="inlineStr">
        <is>
          <t>FHIR CapabilityStatement listing supported resources + interactions.</t>
        </is>
      </c>
      <c r="L123" s="15" t="inlineStr">
        <is>
          <t>Conformance discovery.</t>
        </is>
      </c>
      <c r="M123" s="15" t="inlineStr"/>
      <c r="N123" s="4" t="inlineStr"/>
      <c r="O123" s="15" t="inlineStr"/>
      <c r="P123" s="15" t="inlineStr"/>
      <c r="Q123" s="15" t="inlineStr"/>
      <c r="R123" s="15" t="inlineStr"/>
    </row>
    <row r="124" ht="45" customHeight="1">
      <c r="A124" s="4" t="inlineStr">
        <is>
          <t>TC-0122</t>
        </is>
      </c>
      <c r="B124" s="4" t="inlineStr">
        <is>
          <t>14 — Admin</t>
        </is>
      </c>
      <c r="C124" s="4" t="inlineStr">
        <is>
          <t>Users</t>
        </is>
      </c>
      <c r="D124" s="16" t="inlineStr">
        <is>
          <t>Functional</t>
        </is>
      </c>
      <c r="E124" s="17" t="inlineStr">
        <is>
          <t>P0</t>
        </is>
      </c>
      <c r="F124" s="4" t="inlineStr">
        <is>
          <t>Specialist</t>
        </is>
      </c>
      <c r="G124" s="4" t="inlineStr">
        <is>
          <t>Create user with role assignment</t>
        </is>
      </c>
      <c r="H124" s="4" t="inlineStr">
        <is>
          <t>Admin logged in.</t>
        </is>
      </c>
      <c r="I124" s="4" t="inlineStr">
        <is>
          <t>1. /admin/users → New</t>
        </is>
      </c>
      <c r="J124" s="4" t="inlineStr">
        <is>
          <t>Email, name, role</t>
        </is>
      </c>
      <c r="K124" s="4" t="inlineStr">
        <is>
          <t>User created. Audit log row. Welcome email sent.</t>
        </is>
      </c>
      <c r="L124" s="4" t="inlineStr">
        <is>
          <t>RBAC starts here.</t>
        </is>
      </c>
      <c r="M124" s="4" t="inlineStr"/>
      <c r="N124" s="4" t="inlineStr"/>
      <c r="O124" s="4" t="inlineStr"/>
      <c r="P124" s="4" t="inlineStr"/>
      <c r="Q124" s="4" t="inlineStr"/>
      <c r="R124" s="4" t="inlineStr"/>
    </row>
    <row r="125" ht="45" customHeight="1">
      <c r="A125" s="15" t="inlineStr">
        <is>
          <t>TC-0123</t>
        </is>
      </c>
      <c r="B125" s="15" t="inlineStr">
        <is>
          <t>14 — Admin</t>
        </is>
      </c>
      <c r="C125" s="15" t="inlineStr">
        <is>
          <t>Users</t>
        </is>
      </c>
      <c r="D125" s="16" t="inlineStr">
        <is>
          <t>Functional</t>
        </is>
      </c>
      <c r="E125" s="23" t="inlineStr">
        <is>
          <t>P1</t>
        </is>
      </c>
      <c r="F125" s="15" t="inlineStr">
        <is>
          <t>Specialist</t>
        </is>
      </c>
      <c r="G125" s="15" t="inlineStr">
        <is>
          <t>Disable user</t>
        </is>
      </c>
      <c r="H125" s="15" t="inlineStr">
        <is>
          <t>Existing user.</t>
        </is>
      </c>
      <c r="I125" s="15" t="inlineStr">
        <is>
          <t>1. Toggle disabled</t>
        </is>
      </c>
      <c r="J125" s="15" t="inlineStr">
        <is>
          <t>(none)</t>
        </is>
      </c>
      <c r="K125" s="15" t="inlineStr">
        <is>
          <t>User cannot sign in. Sessions invalidated.</t>
        </is>
      </c>
      <c r="L125" s="15" t="inlineStr">
        <is>
          <t>Offboarding security.</t>
        </is>
      </c>
      <c r="M125" s="15" t="inlineStr"/>
      <c r="N125" s="4" t="inlineStr"/>
      <c r="O125" s="15" t="inlineStr"/>
      <c r="P125" s="15" t="inlineStr"/>
      <c r="Q125" s="15" t="inlineStr"/>
      <c r="R125" s="15" t="inlineStr"/>
    </row>
    <row r="126" ht="45" customHeight="1">
      <c r="A126" s="4" t="inlineStr">
        <is>
          <t>TC-0124</t>
        </is>
      </c>
      <c r="B126" s="4" t="inlineStr">
        <is>
          <t>14 — Admin</t>
        </is>
      </c>
      <c r="C126" s="4" t="inlineStr">
        <is>
          <t>API keys</t>
        </is>
      </c>
      <c r="D126" s="16" t="inlineStr">
        <is>
          <t>Functional</t>
        </is>
      </c>
      <c r="E126" s="17" t="inlineStr">
        <is>
          <t>P0</t>
        </is>
      </c>
      <c r="F126" s="4" t="inlineStr">
        <is>
          <t>Specialist</t>
        </is>
      </c>
      <c r="G126" s="4" t="inlineStr">
        <is>
          <t>Generate + display once</t>
        </is>
      </c>
      <c r="H126" s="4" t="inlineStr">
        <is>
          <t>Admin.</t>
        </is>
      </c>
      <c r="I126" s="4" t="inlineStr">
        <is>
          <t>1. /admin/api-keys → New</t>
        </is>
      </c>
      <c r="J126" s="4" t="inlineStr">
        <is>
          <t>Name, scopes</t>
        </is>
      </c>
      <c r="K126" s="4" t="inlineStr">
        <is>
          <t>Plain key shown ONCE. Subsequent views show last4 only.</t>
        </is>
      </c>
      <c r="L126" s="4" t="inlineStr">
        <is>
          <t>Industry standard secret handling.</t>
        </is>
      </c>
      <c r="M126" s="4" t="inlineStr"/>
      <c r="N126" s="4" t="inlineStr"/>
      <c r="O126" s="4" t="inlineStr"/>
      <c r="P126" s="4" t="inlineStr"/>
      <c r="Q126" s="4" t="inlineStr"/>
      <c r="R126" s="4" t="inlineStr"/>
    </row>
    <row r="127" ht="45" customHeight="1">
      <c r="A127" s="15" t="inlineStr">
        <is>
          <t>TC-0125</t>
        </is>
      </c>
      <c r="B127" s="15" t="inlineStr">
        <is>
          <t>14 — Admin</t>
        </is>
      </c>
      <c r="C127" s="15" t="inlineStr">
        <is>
          <t>Roles</t>
        </is>
      </c>
      <c r="D127" s="16" t="inlineStr">
        <is>
          <t>Functional</t>
        </is>
      </c>
      <c r="E127" s="23" t="inlineStr">
        <is>
          <t>P1</t>
        </is>
      </c>
      <c r="F127" s="15" t="inlineStr">
        <is>
          <t>Specialist</t>
        </is>
      </c>
      <c r="G127" s="15" t="inlineStr">
        <is>
          <t>Edit role permissions reflected immediately</t>
        </is>
      </c>
      <c r="H127" s="15" t="inlineStr">
        <is>
          <t>Custom role.</t>
        </is>
      </c>
      <c r="I127" s="15" t="inlineStr">
        <is>
          <t>1. Edit permission set
2. As that role user, retry blocked action</t>
        </is>
      </c>
      <c r="J127" s="15" t="inlineStr">
        <is>
          <t>(none)</t>
        </is>
      </c>
      <c r="K127" s="15" t="inlineStr">
        <is>
          <t>New permission honored without re-deploy.</t>
        </is>
      </c>
      <c r="L127" s="15" t="inlineStr">
        <is>
          <t>Avoids tickets for permission tweaks.</t>
        </is>
      </c>
      <c r="M127" s="15" t="inlineStr"/>
      <c r="N127" s="4" t="inlineStr"/>
      <c r="O127" s="15" t="inlineStr"/>
      <c r="P127" s="15" t="inlineStr"/>
      <c r="Q127" s="15" t="inlineStr"/>
      <c r="R127" s="15" t="inlineStr"/>
    </row>
    <row r="128" ht="45" customHeight="1">
      <c r="A128" s="4" t="inlineStr">
        <is>
          <t>TC-0126</t>
        </is>
      </c>
      <c r="B128" s="4" t="inlineStr">
        <is>
          <t>14 — Admin</t>
        </is>
      </c>
      <c r="C128" s="4" t="inlineStr">
        <is>
          <t>Workflows</t>
        </is>
      </c>
      <c r="D128" s="16" t="inlineStr">
        <is>
          <t>Functional</t>
        </is>
      </c>
      <c r="E128" s="19" t="inlineStr">
        <is>
          <t>P2</t>
        </is>
      </c>
      <c r="F128" s="4" t="inlineStr">
        <is>
          <t>Specialist</t>
        </is>
      </c>
      <c r="G128" s="4" t="inlineStr">
        <is>
          <t>Edit workflow definition</t>
        </is>
      </c>
      <c r="H128" s="4" t="inlineStr">
        <is>
          <t>Existing workflow.</t>
        </is>
      </c>
      <c r="I128" s="4" t="inlineStr">
        <is>
          <t>1. Edit step
2. Save</t>
        </is>
      </c>
      <c r="J128" s="4" t="inlineStr">
        <is>
          <t>JSON</t>
        </is>
      </c>
      <c r="K128" s="4" t="inlineStr">
        <is>
          <t>Saved. Newly-started instances use new definition. Running instances unaffected.</t>
        </is>
      </c>
      <c r="L128" s="4" t="inlineStr">
        <is>
          <t>Schema-versioning on workflows.</t>
        </is>
      </c>
      <c r="M128" s="4" t="inlineStr"/>
      <c r="N128" s="4" t="inlineStr"/>
      <c r="O128" s="4" t="inlineStr"/>
      <c r="P128" s="4" t="inlineStr"/>
      <c r="Q128" s="4" t="inlineStr"/>
      <c r="R128" s="4" t="inlineStr"/>
    </row>
    <row r="129" ht="45" customHeight="1">
      <c r="A129" s="15" t="inlineStr">
        <is>
          <t>TC-0127</t>
        </is>
      </c>
      <c r="B129" s="15" t="inlineStr">
        <is>
          <t>14 — Admin</t>
        </is>
      </c>
      <c r="C129" s="15" t="inlineStr">
        <is>
          <t>Privileging library</t>
        </is>
      </c>
      <c r="D129" s="16" t="inlineStr">
        <is>
          <t>Functional</t>
        </is>
      </c>
      <c r="E129" s="19" t="inlineStr">
        <is>
          <t>P2</t>
        </is>
      </c>
      <c r="F129" s="15" t="inlineStr">
        <is>
          <t>Specialist</t>
        </is>
      </c>
      <c r="G129" s="15" t="inlineStr">
        <is>
          <t>Add new privilege</t>
        </is>
      </c>
      <c r="H129" s="15" t="inlineStr">
        <is>
          <t>Admin.</t>
        </is>
      </c>
      <c r="I129" s="15" t="inlineStr">
        <is>
          <t>1. /admin/privileging → New</t>
        </is>
      </c>
      <c r="J129" s="15" t="inlineStr">
        <is>
          <t>Name, specialty, CPT codes</t>
        </is>
      </c>
      <c r="K129" s="15" t="inlineStr">
        <is>
          <t>Saved and selectable on hospital privilege form.</t>
        </is>
      </c>
      <c r="L129" s="15" t="inlineStr">
        <is>
          <t>Catalog reusability across providers.</t>
        </is>
      </c>
      <c r="M129" s="15" t="inlineStr"/>
      <c r="N129" s="4" t="inlineStr"/>
      <c r="O129" s="15" t="inlineStr"/>
      <c r="P129" s="15" t="inlineStr"/>
      <c r="Q129" s="15" t="inlineStr"/>
      <c r="R129" s="15" t="inlineStr"/>
    </row>
    <row r="130" ht="45" customHeight="1">
      <c r="A130" s="4" t="inlineStr">
        <is>
          <t>TC-0128</t>
        </is>
      </c>
      <c r="B130" s="4" t="inlineStr">
        <is>
          <t>14 — Admin</t>
        </is>
      </c>
      <c r="C130" s="4" t="inlineStr">
        <is>
          <t>Settings</t>
        </is>
      </c>
      <c r="D130" s="16" t="inlineStr">
        <is>
          <t>Functional</t>
        </is>
      </c>
      <c r="E130" s="19" t="inlineStr">
        <is>
          <t>P2</t>
        </is>
      </c>
      <c r="F130" s="4" t="inlineStr">
        <is>
          <t>Specialist</t>
        </is>
      </c>
      <c r="G130" s="4" t="inlineStr">
        <is>
          <t>Toggle feature flag</t>
        </is>
      </c>
      <c r="H130" s="4" t="inlineStr">
        <is>
          <t>Admin.</t>
        </is>
      </c>
      <c r="I130" s="4" t="inlineStr">
        <is>
          <t>1. /admin/settings → toggle classifier</t>
        </is>
      </c>
      <c r="J130" s="4" t="inlineStr">
        <is>
          <t>(none)</t>
        </is>
      </c>
      <c r="K130" s="4" t="inlineStr">
        <is>
          <t>Setting saved. Subsequent uploads honor new flag.</t>
        </is>
      </c>
      <c r="L130" s="4" t="inlineStr">
        <is>
          <t>Operational kill-switches.</t>
        </is>
      </c>
      <c r="M130" s="4" t="inlineStr"/>
      <c r="N130" s="4" t="inlineStr"/>
      <c r="O130" s="4" t="inlineStr"/>
      <c r="P130" s="4" t="inlineStr"/>
      <c r="Q130" s="4" t="inlineStr"/>
      <c r="R130" s="4" t="inlineStr"/>
    </row>
    <row r="131" ht="45" customHeight="1">
      <c r="A131" s="15" t="inlineStr">
        <is>
          <t>TC-0129</t>
        </is>
      </c>
      <c r="B131" s="15" t="inlineStr">
        <is>
          <t>14 — Admin</t>
        </is>
      </c>
      <c r="C131" s="15" t="inlineStr">
        <is>
          <t>Provider types</t>
        </is>
      </c>
      <c r="D131" s="16" t="inlineStr">
        <is>
          <t>Functional</t>
        </is>
      </c>
      <c r="E131" s="19" t="inlineStr">
        <is>
          <t>P2</t>
        </is>
      </c>
      <c r="F131" s="15" t="inlineStr">
        <is>
          <t>Specialist</t>
        </is>
      </c>
      <c r="G131" s="15" t="inlineStr">
        <is>
          <t>Add provider type</t>
        </is>
      </c>
      <c r="H131" s="15" t="inlineStr">
        <is>
          <t>Admin.</t>
        </is>
      </c>
      <c r="I131" s="15" t="inlineStr">
        <is>
          <t>1. /admin/provider-types → New</t>
        </is>
      </c>
      <c r="J131" s="15" t="inlineStr">
        <is>
          <t>Code, label, default checklist</t>
        </is>
      </c>
      <c r="K131" s="15" t="inlineStr">
        <is>
          <t>Type appears in provider creation dropdown.</t>
        </is>
      </c>
      <c r="L131" s="15" t="inlineStr">
        <is>
          <t>Extensibility per scope.</t>
        </is>
      </c>
      <c r="M131" s="15" t="inlineStr"/>
      <c r="N131" s="4" t="inlineStr"/>
      <c r="O131" s="15" t="inlineStr"/>
      <c r="P131" s="15" t="inlineStr"/>
      <c r="Q131" s="15" t="inlineStr"/>
      <c r="R131" s="15" t="inlineStr"/>
    </row>
    <row r="132" ht="45" customHeight="1">
      <c r="A132" s="4" t="inlineStr">
        <is>
          <t>TC-0130</t>
        </is>
      </c>
      <c r="B132" s="4" t="inlineStr">
        <is>
          <t>15 — Reports &amp; Analytics</t>
        </is>
      </c>
      <c r="C132" s="4" t="inlineStr">
        <is>
          <t>Reports list</t>
        </is>
      </c>
      <c r="D132" s="16" t="inlineStr">
        <is>
          <t>Functional</t>
        </is>
      </c>
      <c r="E132" s="23" t="inlineStr">
        <is>
          <t>P1</t>
        </is>
      </c>
      <c r="F132" s="4" t="inlineStr">
        <is>
          <t>Specialist</t>
        </is>
      </c>
      <c r="G132" s="4" t="inlineStr">
        <is>
          <t>Saved reports list</t>
        </is>
      </c>
      <c r="H132" s="4" t="inlineStr">
        <is>
          <t>Saved reports exist.</t>
        </is>
      </c>
      <c r="I132" s="4" t="inlineStr">
        <is>
          <t>1. /reports</t>
        </is>
      </c>
      <c r="J132" s="4" t="inlineStr">
        <is>
          <t>(none)</t>
        </is>
      </c>
      <c r="K132" s="4" t="inlineStr">
        <is>
          <t>List with name, last run, owner.</t>
        </is>
      </c>
      <c r="L132" s="4" t="inlineStr">
        <is>
          <t>Self-service reporting.</t>
        </is>
      </c>
      <c r="M132" s="4" t="inlineStr"/>
      <c r="N132" s="4" t="inlineStr"/>
      <c r="O132" s="4" t="inlineStr"/>
      <c r="P132" s="4" t="inlineStr"/>
      <c r="Q132" s="4" t="inlineStr"/>
      <c r="R132" s="4" t="inlineStr"/>
    </row>
    <row r="133" ht="45" customHeight="1">
      <c r="A133" s="15" t="inlineStr">
        <is>
          <t>TC-0131</t>
        </is>
      </c>
      <c r="B133" s="15" t="inlineStr">
        <is>
          <t>15 — Reports &amp; Analytics</t>
        </is>
      </c>
      <c r="C133" s="15" t="inlineStr">
        <is>
          <t>Report builder</t>
        </is>
      </c>
      <c r="D133" s="16" t="inlineStr">
        <is>
          <t>Functional</t>
        </is>
      </c>
      <c r="E133" s="23" t="inlineStr">
        <is>
          <t>P1</t>
        </is>
      </c>
      <c r="F133" s="15" t="inlineStr">
        <is>
          <t>Specialist</t>
        </is>
      </c>
      <c r="G133" s="15" t="inlineStr">
        <is>
          <t>Build ad-hoc report</t>
        </is>
      </c>
      <c r="H133" s="15" t="inlineStr">
        <is>
          <t>Manager.</t>
        </is>
      </c>
      <c r="I133" s="15" t="inlineStr">
        <is>
          <t>1. New report → choose entity, columns, filters → Run</t>
        </is>
      </c>
      <c r="J133" s="15" t="inlineStr">
        <is>
          <t>Filter criteria</t>
        </is>
      </c>
      <c r="K133" s="15" t="inlineStr">
        <is>
          <t>Results table renders. CSV export available.</t>
        </is>
      </c>
      <c r="L133" s="15" t="inlineStr">
        <is>
          <t>Reduces tickets to engineering.</t>
        </is>
      </c>
      <c r="M133" s="15" t="inlineStr"/>
      <c r="N133" s="4" t="inlineStr"/>
      <c r="O133" s="15" t="inlineStr"/>
      <c r="P133" s="15" t="inlineStr"/>
      <c r="Q133" s="15" t="inlineStr"/>
      <c r="R133" s="15" t="inlineStr"/>
    </row>
    <row r="134" ht="45" customHeight="1">
      <c r="A134" s="4" t="inlineStr">
        <is>
          <t>TC-0132</t>
        </is>
      </c>
      <c r="B134" s="4" t="inlineStr">
        <is>
          <t>15 — Reports &amp; Analytics</t>
        </is>
      </c>
      <c r="C134" s="4" t="inlineStr">
        <is>
          <t>Export</t>
        </is>
      </c>
      <c r="D134" s="16" t="inlineStr">
        <is>
          <t>Functional</t>
        </is>
      </c>
      <c r="E134" s="23" t="inlineStr">
        <is>
          <t>P1</t>
        </is>
      </c>
      <c r="F134" s="4" t="inlineStr">
        <is>
          <t>Specialist</t>
        </is>
      </c>
      <c r="G134" s="4" t="inlineStr">
        <is>
          <t>CSV export accurate + RFC4180-conformant</t>
        </is>
      </c>
      <c r="H134" s="4" t="inlineStr">
        <is>
          <t>Run report.</t>
        </is>
      </c>
      <c r="I134" s="4" t="inlineStr">
        <is>
          <t>1. Click Export CSV</t>
        </is>
      </c>
      <c r="J134" s="4" t="inlineStr">
        <is>
          <t>(none)</t>
        </is>
      </c>
      <c r="K134" s="4" t="inlineStr">
        <is>
          <t>CSV downloads. Quotes/commas/newlines properly escaped.</t>
        </is>
      </c>
      <c r="L134" s="4" t="inlineStr">
        <is>
          <t>Excel-friendly without breaking parsers.</t>
        </is>
      </c>
      <c r="M134" s="4" t="inlineStr"/>
      <c r="N134" s="4" t="inlineStr"/>
      <c r="O134" s="4" t="inlineStr"/>
      <c r="P134" s="4" t="inlineStr"/>
      <c r="Q134" s="4" t="inlineStr"/>
      <c r="R134" s="4" t="inlineStr"/>
    </row>
    <row r="135" ht="45" customHeight="1">
      <c r="A135" s="15" t="inlineStr">
        <is>
          <t>TC-0133</t>
        </is>
      </c>
      <c r="B135" s="15" t="inlineStr">
        <is>
          <t>15 — Reports &amp; Analytics</t>
        </is>
      </c>
      <c r="C135" s="15" t="inlineStr">
        <is>
          <t>Scorecards</t>
        </is>
      </c>
      <c r="D135" s="16" t="inlineStr">
        <is>
          <t>Functional</t>
        </is>
      </c>
      <c r="E135" s="19" t="inlineStr">
        <is>
          <t>P2</t>
        </is>
      </c>
      <c r="F135" s="15" t="inlineStr">
        <is>
          <t>Specialist</t>
        </is>
      </c>
      <c r="G135" s="15" t="inlineStr">
        <is>
          <t>Provider scorecard renders</t>
        </is>
      </c>
      <c r="H135" s="15" t="inlineStr">
        <is>
          <t>Provider with metrics.</t>
        </is>
      </c>
      <c r="I135" s="15" t="inlineStr">
        <is>
          <t>1. /scorecards/&lt;id&gt;</t>
        </is>
      </c>
      <c r="J135" s="15" t="inlineStr">
        <is>
          <t>(none)</t>
        </is>
      </c>
      <c r="K135" s="15" t="inlineStr">
        <is>
          <t>Tiles for turnaround, complaints, OPPE results.</t>
        </is>
      </c>
      <c r="L135" s="15" t="inlineStr">
        <is>
          <t>Performance &amp; analytics module.</t>
        </is>
      </c>
      <c r="M135" s="15" t="inlineStr"/>
      <c r="N135" s="4" t="inlineStr"/>
      <c r="O135" s="15" t="inlineStr"/>
      <c r="P135" s="15" t="inlineStr"/>
      <c r="Q135" s="15" t="inlineStr"/>
      <c r="R135" s="15" t="inlineStr"/>
    </row>
    <row r="136" ht="45" customHeight="1">
      <c r="A136" s="4" t="inlineStr">
        <is>
          <t>TC-0134</t>
        </is>
      </c>
      <c r="B136" s="4" t="inlineStr">
        <is>
          <t>15 — Reports &amp; Analytics</t>
        </is>
      </c>
      <c r="C136" s="4" t="inlineStr">
        <is>
          <t>Analytics</t>
        </is>
      </c>
      <c r="D136" s="28" t="inlineStr">
        <is>
          <t>Performance</t>
        </is>
      </c>
      <c r="E136" s="19" t="inlineStr">
        <is>
          <t>P2</t>
        </is>
      </c>
      <c r="F136" s="4" t="inlineStr">
        <is>
          <t>Specialist</t>
        </is>
      </c>
      <c r="G136" s="4" t="inlineStr">
        <is>
          <t>Analytics page &lt;2s with seeded data</t>
        </is>
      </c>
      <c r="H136" s="4" t="inlineStr">
        <is>
          <t>(none)</t>
        </is>
      </c>
      <c r="I136" s="4" t="inlineStr">
        <is>
          <t>1. /analytics</t>
        </is>
      </c>
      <c r="J136" s="4" t="inlineStr">
        <is>
          <t>(none)</t>
        </is>
      </c>
      <c r="K136" s="4" t="inlineStr">
        <is>
          <t>Page loads under 2s. No N+1 queries (verify via SQL log).</t>
        </is>
      </c>
      <c r="L136" s="4" t="inlineStr">
        <is>
          <t>Slow analytics = unused analytics.</t>
        </is>
      </c>
      <c r="M136" s="4" t="inlineStr"/>
      <c r="N136" s="4" t="inlineStr"/>
      <c r="O136" s="4" t="inlineStr"/>
      <c r="P136" s="4" t="inlineStr"/>
      <c r="Q136" s="4" t="inlineStr"/>
      <c r="R136" s="4" t="inlineStr"/>
    </row>
    <row r="137" ht="45" customHeight="1">
      <c r="A137" s="15" t="inlineStr">
        <is>
          <t>TC-0135</t>
        </is>
      </c>
      <c r="B137" s="15" t="inlineStr">
        <is>
          <t>16 — Communications</t>
        </is>
      </c>
      <c r="C137" s="15" t="inlineStr">
        <is>
          <t>Email sending</t>
        </is>
      </c>
      <c r="D137" s="26" t="inlineStr">
        <is>
          <t>Integration</t>
        </is>
      </c>
      <c r="E137" s="17" t="inlineStr">
        <is>
          <t>P0</t>
        </is>
      </c>
      <c r="F137" s="15" t="inlineStr">
        <is>
          <t>Specialist</t>
        </is>
      </c>
      <c r="G137" s="15" t="inlineStr">
        <is>
          <t>SendGrid 202 received on outbound</t>
        </is>
      </c>
      <c r="H137" s="15" t="inlineStr">
        <is>
          <t>Send any outbound email.</t>
        </is>
      </c>
      <c r="I137" s="15" t="inlineStr">
        <is>
          <t>1. Trigger send
2. Inspect Notification row</t>
        </is>
      </c>
      <c r="J137" s="15" t="inlineStr">
        <is>
          <t>(none)</t>
        </is>
      </c>
      <c r="K137" s="15" t="inlineStr">
        <is>
          <t>providerStatus=SENT_OK. messageId captured.</t>
        </is>
      </c>
      <c r="L137" s="15" t="inlineStr">
        <is>
          <t>Without confirmed delivery, comms are unverifiable.</t>
        </is>
      </c>
      <c r="M137" s="15" t="inlineStr"/>
      <c r="N137" s="4" t="inlineStr"/>
      <c r="O137" s="15" t="inlineStr"/>
      <c r="P137" s="15" t="inlineStr"/>
      <c r="Q137" s="15" t="inlineStr"/>
      <c r="R137" s="15" t="inlineStr"/>
    </row>
    <row r="138" ht="45" customHeight="1">
      <c r="A138" s="4" t="inlineStr">
        <is>
          <t>TC-0136</t>
        </is>
      </c>
      <c r="B138" s="4" t="inlineStr">
        <is>
          <t>16 — Communications</t>
        </is>
      </c>
      <c r="C138" s="4" t="inlineStr">
        <is>
          <t>Email tracking</t>
        </is>
      </c>
      <c r="D138" s="26" t="inlineStr">
        <is>
          <t>Integration</t>
        </is>
      </c>
      <c r="E138" s="23" t="inlineStr">
        <is>
          <t>P1</t>
        </is>
      </c>
      <c r="F138" s="4" t="inlineStr">
        <is>
          <t>Specialist</t>
        </is>
      </c>
      <c r="G138" s="4" t="inlineStr">
        <is>
          <t>SendGrid webhook updates delivery status</t>
        </is>
      </c>
      <c r="H138" s="4" t="inlineStr">
        <is>
          <t>Send email.</t>
        </is>
      </c>
      <c r="I138" s="4" t="inlineStr">
        <is>
          <t>1. POST mock SendGrid event to /api/webhooks/sendgrid</t>
        </is>
      </c>
      <c r="J138" s="4" t="inlineStr">
        <is>
          <t>Signed event</t>
        </is>
      </c>
      <c r="K138" s="4" t="inlineStr">
        <is>
          <t>Notification.deliveryStatus updated (delivered/bounce/click).</t>
        </is>
      </c>
      <c r="L138" s="4" t="inlineStr">
        <is>
          <t>Required for outreach analytics.</t>
        </is>
      </c>
      <c r="M138" s="4" t="inlineStr"/>
      <c r="N138" s="4" t="inlineStr"/>
      <c r="O138" s="4" t="inlineStr"/>
      <c r="P138" s="4" t="inlineStr"/>
      <c r="Q138" s="4" t="inlineStr"/>
      <c r="R138" s="4" t="inlineStr"/>
    </row>
    <row r="139" ht="45" customHeight="1">
      <c r="A139" s="15" t="inlineStr">
        <is>
          <t>TC-0137</t>
        </is>
      </c>
      <c r="B139" s="15" t="inlineStr">
        <is>
          <t>16 — Communications</t>
        </is>
      </c>
      <c r="C139" s="15" t="inlineStr">
        <is>
          <t>SMS</t>
        </is>
      </c>
      <c r="D139" s="26" t="inlineStr">
        <is>
          <t>Integration</t>
        </is>
      </c>
      <c r="E139" s="19" t="inlineStr">
        <is>
          <t>P2</t>
        </is>
      </c>
      <c r="F139" s="15" t="inlineStr">
        <is>
          <t>Specialist</t>
        </is>
      </c>
      <c r="G139" s="15" t="inlineStr">
        <is>
          <t>Azure Communication Services SMS sends</t>
        </is>
      </c>
      <c r="H139" s="15" t="inlineStr">
        <is>
          <t>Provider with phone.</t>
        </is>
      </c>
      <c r="I139" s="15" t="inlineStr">
        <is>
          <t>1. Trigger SMS reminder</t>
        </is>
      </c>
      <c r="J139" s="15" t="inlineStr">
        <is>
          <t>(none)</t>
        </is>
      </c>
      <c r="K139" s="15" t="inlineStr">
        <is>
          <t>Notification.providerStatus=SENT. ACS message sent.</t>
        </is>
      </c>
      <c r="L139" s="15" t="inlineStr">
        <is>
          <t>SMS reaches providers who don't check email regularly.</t>
        </is>
      </c>
      <c r="M139" s="15" t="inlineStr"/>
      <c r="N139" s="4" t="inlineStr"/>
      <c r="O139" s="15" t="inlineStr"/>
      <c r="P139" s="15" t="inlineStr"/>
      <c r="Q139" s="15" t="inlineStr"/>
      <c r="R139" s="15" t="inlineStr"/>
    </row>
    <row r="140" ht="45" customHeight="1">
      <c r="A140" s="4" t="inlineStr">
        <is>
          <t>TC-0138</t>
        </is>
      </c>
      <c r="B140" s="4" t="inlineStr">
        <is>
          <t>16 — Communications</t>
        </is>
      </c>
      <c r="C140" s="4" t="inlineStr">
        <is>
          <t>Templates</t>
        </is>
      </c>
      <c r="D140" s="20" t="inlineStr">
        <is>
          <t>UI</t>
        </is>
      </c>
      <c r="E140" s="23" t="inlineStr">
        <is>
          <t>P1</t>
        </is>
      </c>
      <c r="F140" s="4" t="inlineStr">
        <is>
          <t>Specialist</t>
        </is>
      </c>
      <c r="G140" s="4" t="inlineStr">
        <is>
          <t>Templates render with replaced merge tags</t>
        </is>
      </c>
      <c r="H140" s="4" t="inlineStr">
        <is>
          <t>Template with {{firstName}}.</t>
        </is>
      </c>
      <c r="I140" s="4" t="inlineStr">
        <is>
          <t>1. Preview template</t>
        </is>
      </c>
      <c r="J140" s="4" t="inlineStr">
        <is>
          <t>(none)</t>
        </is>
      </c>
      <c r="K140" s="4" t="inlineStr">
        <is>
          <t>All merge tags replaced. Unknown tags flagged.</t>
        </is>
      </c>
      <c r="L140" s="4" t="inlineStr">
        <is>
          <t>Sending raw {{firstName}} to providers is unprofessional.</t>
        </is>
      </c>
      <c r="M140" s="4" t="inlineStr"/>
      <c r="N140" s="4" t="inlineStr"/>
      <c r="O140" s="4" t="inlineStr"/>
      <c r="P140" s="4" t="inlineStr"/>
      <c r="Q140" s="4" t="inlineStr"/>
      <c r="R140" s="4" t="inlineStr"/>
    </row>
    <row r="141" ht="45" customHeight="1">
      <c r="A141" s="15" t="inlineStr">
        <is>
          <t>TC-0139</t>
        </is>
      </c>
      <c r="B141" s="15" t="inlineStr">
        <is>
          <t>17 — Audit &amp; Tamper Evidence</t>
        </is>
      </c>
      <c r="C141" s="15" t="inlineStr">
        <is>
          <t>Mutation logging</t>
        </is>
      </c>
      <c r="D141" s="25" t="inlineStr">
        <is>
          <t>Data</t>
        </is>
      </c>
      <c r="E141" s="17" t="inlineStr">
        <is>
          <t>P0</t>
        </is>
      </c>
      <c r="F141" s="15" t="inlineStr">
        <is>
          <t>Specialist</t>
        </is>
      </c>
      <c r="G141" s="15" t="inlineStr">
        <is>
          <t>Every state-changing tRPC mutation writes audit row</t>
        </is>
      </c>
      <c r="H141" s="15" t="inlineStr">
        <is>
          <t>(none)</t>
        </is>
      </c>
      <c r="I141" s="15" t="inlineStr">
        <is>
          <t>1. Update provider record
2. Inspect AuditLog table</t>
        </is>
      </c>
      <c r="J141" s="15" t="inlineStr">
        <is>
          <t>(none)</t>
        </is>
      </c>
      <c r="K141" s="15" t="inlineStr">
        <is>
          <t>Row with actorId, action, beforeState, afterState, timestamp, hash.</t>
        </is>
      </c>
      <c r="L141" s="15" t="inlineStr">
        <is>
          <t>NCQA + HITRUST require complete audit trail.</t>
        </is>
      </c>
      <c r="M141" s="15" t="inlineStr"/>
      <c r="N141" s="4" t="inlineStr"/>
      <c r="O141" s="15" t="inlineStr"/>
      <c r="P141" s="15" t="inlineStr"/>
      <c r="Q141" s="15" t="inlineStr"/>
      <c r="R141" s="15" t="inlineStr"/>
    </row>
    <row r="142" ht="45" customHeight="1">
      <c r="A142" s="4" t="inlineStr">
        <is>
          <t>TC-0140</t>
        </is>
      </c>
      <c r="B142" s="4" t="inlineStr">
        <is>
          <t>17 — Audit &amp; Tamper Evidence</t>
        </is>
      </c>
      <c r="C142" s="4" t="inlineStr">
        <is>
          <t>Tamper evidence</t>
        </is>
      </c>
      <c r="D142" s="22" t="inlineStr">
        <is>
          <t>Security</t>
        </is>
      </c>
      <c r="E142" s="17" t="inlineStr">
        <is>
          <t>P0</t>
        </is>
      </c>
      <c r="F142" s="4" t="inlineStr">
        <is>
          <t>Specialist</t>
        </is>
      </c>
      <c r="G142" s="4" t="inlineStr">
        <is>
          <t>Audit log hash chain detects tamper</t>
        </is>
      </c>
      <c r="H142" s="4" t="inlineStr">
        <is>
          <t>Several audit rows.</t>
        </is>
      </c>
      <c r="I142" s="4" t="inlineStr">
        <is>
          <t>1. UPDATE one row's afterState directly in DB
2. Run integrity check</t>
        </is>
      </c>
      <c r="J142" s="4" t="inlineStr">
        <is>
          <t>(none)</t>
        </is>
      </c>
      <c r="K142" s="4" t="inlineStr">
        <is>
          <t>Integrity check identifies broken chain row.</t>
        </is>
      </c>
      <c r="L142" s="4" t="inlineStr">
        <is>
          <t>Hash chain is core HITRUST control.</t>
        </is>
      </c>
      <c r="M142" s="4" t="inlineStr"/>
      <c r="N142" s="4" t="inlineStr"/>
      <c r="O142" s="4" t="inlineStr"/>
      <c r="P142" s="4" t="inlineStr"/>
      <c r="Q142" s="4" t="inlineStr"/>
      <c r="R142" s="4" t="inlineStr"/>
    </row>
    <row r="143" ht="45" customHeight="1">
      <c r="A143" s="15" t="inlineStr">
        <is>
          <t>TC-0141</t>
        </is>
      </c>
      <c r="B143" s="15" t="inlineStr">
        <is>
          <t>17 — Audit &amp; Tamper Evidence</t>
        </is>
      </c>
      <c r="C143" s="15" t="inlineStr">
        <is>
          <t>Read access</t>
        </is>
      </c>
      <c r="D143" s="16" t="inlineStr">
        <is>
          <t>Functional</t>
        </is>
      </c>
      <c r="E143" s="23" t="inlineStr">
        <is>
          <t>P1</t>
        </is>
      </c>
      <c r="F143" s="15" t="inlineStr">
        <is>
          <t>Specialist</t>
        </is>
      </c>
      <c r="G143" s="15" t="inlineStr">
        <is>
          <t>Audit page filterable by provider, actor, date</t>
        </is>
      </c>
      <c r="H143" s="15" t="inlineStr">
        <is>
          <t>Audit logs exist.</t>
        </is>
      </c>
      <c r="I143" s="15" t="inlineStr">
        <is>
          <t>1. /admin (audit panel) filter by provider</t>
        </is>
      </c>
      <c r="J143" s="15" t="inlineStr">
        <is>
          <t>(none)</t>
        </is>
      </c>
      <c r="K143" s="15" t="inlineStr">
        <is>
          <t>Only matching rows.</t>
        </is>
      </c>
      <c r="L143" s="15" t="inlineStr">
        <is>
          <t>Investigations need fast retrieval.</t>
        </is>
      </c>
      <c r="M143" s="15" t="inlineStr"/>
      <c r="N143" s="4" t="inlineStr"/>
      <c r="O143" s="15" t="inlineStr"/>
      <c r="P143" s="15" t="inlineStr"/>
      <c r="Q143" s="15" t="inlineStr"/>
      <c r="R143" s="15" t="inlineStr"/>
    </row>
    <row r="144" ht="45" customHeight="1">
      <c r="A144" s="4" t="inlineStr">
        <is>
          <t>TC-0142</t>
        </is>
      </c>
      <c r="B144" s="4" t="inlineStr">
        <is>
          <t>18 — Data Integrity &amp; Encryption</t>
        </is>
      </c>
      <c r="C144" s="4" t="inlineStr">
        <is>
          <t>PHI at rest</t>
        </is>
      </c>
      <c r="D144" s="22" t="inlineStr">
        <is>
          <t>Security</t>
        </is>
      </c>
      <c r="E144" s="17" t="inlineStr">
        <is>
          <t>P0</t>
        </is>
      </c>
      <c r="F144" s="4" t="inlineStr">
        <is>
          <t>Specialist</t>
        </is>
      </c>
      <c r="G144" s="4" t="inlineStr">
        <is>
          <t>SSN encrypted in DB</t>
        </is>
      </c>
      <c r="H144" s="4" t="inlineStr">
        <is>
          <t>(none)</t>
        </is>
      </c>
      <c r="I144" s="4" t="inlineStr">
        <is>
          <t>1. SELECT ssn FROM providers WHERE id=...</t>
        </is>
      </c>
      <c r="J144" s="4" t="inlineStr">
        <is>
          <t>(none)</t>
        </is>
      </c>
      <c r="K144" s="4" t="inlineStr">
        <is>
          <t>Ciphertext, not 9-digit number. App reads/writes plaintext via crypto helper.</t>
        </is>
      </c>
      <c r="L144" s="4" t="inlineStr">
        <is>
          <t>PHI breach risk.</t>
        </is>
      </c>
      <c r="M144" s="4" t="inlineStr"/>
      <c r="N144" s="4" t="inlineStr"/>
      <c r="O144" s="4" t="inlineStr"/>
      <c r="P144" s="4" t="inlineStr"/>
      <c r="Q144" s="4" t="inlineStr"/>
      <c r="R144" s="4" t="inlineStr"/>
    </row>
    <row r="145" ht="45" customHeight="1">
      <c r="A145" s="15" t="inlineStr">
        <is>
          <t>TC-0143</t>
        </is>
      </c>
      <c r="B145" s="15" t="inlineStr">
        <is>
          <t>18 — Data Integrity &amp; Encryption</t>
        </is>
      </c>
      <c r="C145" s="15" t="inlineStr">
        <is>
          <t>PHI redaction</t>
        </is>
      </c>
      <c r="D145" s="22" t="inlineStr">
        <is>
          <t>Security</t>
        </is>
      </c>
      <c r="E145" s="17" t="inlineStr">
        <is>
          <t>P0</t>
        </is>
      </c>
      <c r="F145" s="15" t="inlineStr">
        <is>
          <t>Specialist</t>
        </is>
      </c>
      <c r="G145" s="15" t="inlineStr">
        <is>
          <t>Logs do NOT contain SSN/DOB</t>
        </is>
      </c>
      <c r="H145" s="15" t="inlineStr">
        <is>
          <t>Trigger flow that handles PHI.</t>
        </is>
      </c>
      <c r="I145" s="15" t="inlineStr">
        <is>
          <t>1. grep logs for SSN pattern</t>
        </is>
      </c>
      <c r="J145" s="15" t="inlineStr">
        <is>
          <t>(none)</t>
        </is>
      </c>
      <c r="K145" s="15" t="inlineStr">
        <is>
          <t>Zero matches.</t>
        </is>
      </c>
      <c r="L145" s="15" t="inlineStr">
        <is>
          <t>PHI in logs = PHI in 3rd-party log aggregators.</t>
        </is>
      </c>
      <c r="M145" s="15" t="inlineStr"/>
      <c r="N145" s="4" t="inlineStr"/>
      <c r="O145" s="15" t="inlineStr"/>
      <c r="P145" s="15" t="inlineStr"/>
      <c r="Q145" s="15" t="inlineStr"/>
      <c r="R145" s="15" t="inlineStr"/>
    </row>
    <row r="146" ht="45" customHeight="1">
      <c r="A146" s="4" t="inlineStr">
        <is>
          <t>TC-0144</t>
        </is>
      </c>
      <c r="B146" s="4" t="inlineStr">
        <is>
          <t>18 — Data Integrity &amp; Encryption</t>
        </is>
      </c>
      <c r="C146" s="4" t="inlineStr">
        <is>
          <t>Foreign keys</t>
        </is>
      </c>
      <c r="D146" s="25" t="inlineStr">
        <is>
          <t>Data</t>
        </is>
      </c>
      <c r="E146" s="17" t="inlineStr">
        <is>
          <t>P0</t>
        </is>
      </c>
      <c r="F146" s="4" t="inlineStr">
        <is>
          <t>Specialist</t>
        </is>
      </c>
      <c r="G146" s="4" t="inlineStr">
        <is>
          <t>Cascading deletes don't orphan</t>
        </is>
      </c>
      <c r="H146" s="4" t="inlineStr">
        <is>
          <t>Provider with documents.</t>
        </is>
      </c>
      <c r="I146" s="4" t="inlineStr">
        <is>
          <t>1. Delete provider via test mutation
2. Inspect documents table</t>
        </is>
      </c>
      <c r="J146" s="4" t="inlineStr">
        <is>
          <t>(none)</t>
        </is>
      </c>
      <c r="K146" s="4" t="inlineStr">
        <is>
          <t>Documents removed (or status archived).</t>
        </is>
      </c>
      <c r="L146" s="4" t="inlineStr">
        <is>
          <t>Avoids dangling references.</t>
        </is>
      </c>
      <c r="M146" s="4" t="inlineStr"/>
      <c r="N146" s="4" t="inlineStr"/>
      <c r="O146" s="4" t="inlineStr"/>
      <c r="P146" s="4" t="inlineStr"/>
      <c r="Q146" s="4" t="inlineStr"/>
      <c r="R146" s="4" t="inlineStr"/>
    </row>
    <row r="147" ht="45" customHeight="1">
      <c r="A147" s="15" t="inlineStr">
        <is>
          <t>TC-0145</t>
        </is>
      </c>
      <c r="B147" s="15" t="inlineStr">
        <is>
          <t>18 — Data Integrity &amp; Encryption</t>
        </is>
      </c>
      <c r="C147" s="15" t="inlineStr">
        <is>
          <t>Migrations</t>
        </is>
      </c>
      <c r="D147" s="25" t="inlineStr">
        <is>
          <t>Data</t>
        </is>
      </c>
      <c r="E147" s="17" t="inlineStr">
        <is>
          <t>P0</t>
        </is>
      </c>
      <c r="F147" s="15" t="inlineStr">
        <is>
          <t>Specialist</t>
        </is>
      </c>
      <c r="G147" s="15" t="inlineStr">
        <is>
          <t>All migrations apply cleanly on fresh DB</t>
        </is>
      </c>
      <c r="H147" s="15" t="inlineStr">
        <is>
          <t>Empty test DB.</t>
        </is>
      </c>
      <c r="I147" s="15" t="inlineStr">
        <is>
          <t>1. `prisma migrate deploy`</t>
        </is>
      </c>
      <c r="J147" s="15" t="inlineStr">
        <is>
          <t>(none)</t>
        </is>
      </c>
      <c r="K147" s="15" t="inlineStr">
        <is>
          <t>Zero errors. All tables present.</t>
        </is>
      </c>
      <c r="L147" s="15" t="inlineStr">
        <is>
          <t>Disaster recovery viability.</t>
        </is>
      </c>
      <c r="M147" s="15" t="inlineStr"/>
      <c r="N147" s="4" t="inlineStr"/>
      <c r="O147" s="15" t="inlineStr"/>
      <c r="P147" s="15" t="inlineStr"/>
      <c r="Q147" s="15" t="inlineStr"/>
      <c r="R147" s="15" t="inlineStr"/>
    </row>
    <row r="148" ht="45" customHeight="1">
      <c r="A148" s="4" t="inlineStr">
        <is>
          <t>TC-0146</t>
        </is>
      </c>
      <c r="B148" s="4" t="inlineStr">
        <is>
          <t>18 — Data Integrity &amp; Encryption</t>
        </is>
      </c>
      <c r="C148" s="4" t="inlineStr">
        <is>
          <t>Backups</t>
        </is>
      </c>
      <c r="D148" s="16" t="inlineStr">
        <is>
          <t>Functional</t>
        </is>
      </c>
      <c r="E148" s="23" t="inlineStr">
        <is>
          <t>P1</t>
        </is>
      </c>
      <c r="F148" s="4" t="inlineStr">
        <is>
          <t>Specialist</t>
        </is>
      </c>
      <c r="G148" s="4" t="inlineStr">
        <is>
          <t>Daily backup completes</t>
        </is>
      </c>
      <c r="H148" s="4" t="inlineStr">
        <is>
          <t>Backup job configured.</t>
        </is>
      </c>
      <c r="I148" s="4" t="inlineStr">
        <is>
          <t>1. Inspect backup folder/cloud</t>
        </is>
      </c>
      <c r="J148" s="4" t="inlineStr">
        <is>
          <t>(none)</t>
        </is>
      </c>
      <c r="K148" s="4" t="inlineStr">
        <is>
          <t>Latest backup ≤24h old.</t>
        </is>
      </c>
      <c r="L148" s="4" t="inlineStr">
        <is>
          <t>Last line of defense.</t>
        </is>
      </c>
      <c r="M148" s="4" t="inlineStr"/>
      <c r="N148" s="4" t="inlineStr"/>
      <c r="O148" s="4" t="inlineStr"/>
      <c r="P148" s="4" t="inlineStr"/>
      <c r="Q148" s="4" t="inlineStr"/>
      <c r="R148" s="4" t="inlineStr"/>
    </row>
    <row r="149" ht="45" customHeight="1">
      <c r="A149" s="15" t="inlineStr">
        <is>
          <t>TC-0147</t>
        </is>
      </c>
      <c r="B149" s="15" t="inlineStr">
        <is>
          <t>19 — Performance &amp; Load</t>
        </is>
      </c>
      <c r="C149" s="15" t="inlineStr">
        <is>
          <t>Dashboard P50</t>
        </is>
      </c>
      <c r="D149" s="28" t="inlineStr">
        <is>
          <t>Performance</t>
        </is>
      </c>
      <c r="E149" s="17" t="inlineStr">
        <is>
          <t>P0</t>
        </is>
      </c>
      <c r="F149" s="15" t="inlineStr">
        <is>
          <t>Specialist</t>
        </is>
      </c>
      <c r="G149" s="15" t="inlineStr">
        <is>
          <t>Dashboard P50 ≤ 1.5s</t>
        </is>
      </c>
      <c r="H149" s="15" t="inlineStr">
        <is>
          <t>(none)</t>
        </is>
      </c>
      <c r="I149" s="15" t="inlineStr">
        <is>
          <t>1. k6 load test 50 RPS for 5 min</t>
        </is>
      </c>
      <c r="J149" s="15" t="inlineStr">
        <is>
          <t>(none)</t>
        </is>
      </c>
      <c r="K149" s="15" t="inlineStr">
        <is>
          <t>P50 ≤ 1.5s, P95 ≤ 3s. Zero 5xx.</t>
        </is>
      </c>
      <c r="L149" s="15" t="inlineStr">
        <is>
          <t>Most-used page; slowness = staff productivity loss.</t>
        </is>
      </c>
      <c r="M149" s="15" t="inlineStr"/>
      <c r="N149" s="4" t="inlineStr"/>
      <c r="O149" s="15" t="inlineStr"/>
      <c r="P149" s="15" t="inlineStr"/>
      <c r="Q149" s="15" t="inlineStr"/>
      <c r="R149" s="15" t="inlineStr"/>
    </row>
    <row r="150" ht="45" customHeight="1">
      <c r="A150" s="4" t="inlineStr">
        <is>
          <t>TC-0148</t>
        </is>
      </c>
      <c r="B150" s="4" t="inlineStr">
        <is>
          <t>19 — Performance &amp; Load</t>
        </is>
      </c>
      <c r="C150" s="4" t="inlineStr">
        <is>
          <t>List endpoints</t>
        </is>
      </c>
      <c r="D150" s="28" t="inlineStr">
        <is>
          <t>Performance</t>
        </is>
      </c>
      <c r="E150" s="23" t="inlineStr">
        <is>
          <t>P1</t>
        </is>
      </c>
      <c r="F150" s="4" t="inlineStr">
        <is>
          <t>Specialist</t>
        </is>
      </c>
      <c r="G150" s="4" t="inlineStr">
        <is>
          <t>/api/v1/providers handles 100 RPS</t>
        </is>
      </c>
      <c r="H150" s="4" t="inlineStr">
        <is>
          <t>(none)</t>
        </is>
      </c>
      <c r="I150" s="4" t="inlineStr">
        <is>
          <t>1. k6 100 RPS</t>
        </is>
      </c>
      <c r="J150" s="4" t="inlineStr">
        <is>
          <t>(none)</t>
        </is>
      </c>
      <c r="K150" s="4" t="inlineStr">
        <is>
          <t>Median &lt;300ms. No 5xx. CPU steady.</t>
        </is>
      </c>
      <c r="L150" s="4" t="inlineStr">
        <is>
          <t>External integrations depend on stable API.</t>
        </is>
      </c>
      <c r="M150" s="4" t="inlineStr"/>
      <c r="N150" s="4" t="inlineStr"/>
      <c r="O150" s="4" t="inlineStr"/>
      <c r="P150" s="4" t="inlineStr"/>
      <c r="Q150" s="4" t="inlineStr"/>
      <c r="R150" s="4" t="inlineStr"/>
    </row>
    <row r="151" ht="45" customHeight="1">
      <c r="A151" s="15" t="inlineStr">
        <is>
          <t>TC-0149</t>
        </is>
      </c>
      <c r="B151" s="15" t="inlineStr">
        <is>
          <t>19 — Performance &amp; Load</t>
        </is>
      </c>
      <c r="C151" s="15" t="inlineStr">
        <is>
          <t>DB query</t>
        </is>
      </c>
      <c r="D151" s="28" t="inlineStr">
        <is>
          <t>Performance</t>
        </is>
      </c>
      <c r="E151" s="23" t="inlineStr">
        <is>
          <t>P1</t>
        </is>
      </c>
      <c r="F151" s="15" t="inlineStr">
        <is>
          <t>Specialist</t>
        </is>
      </c>
      <c r="G151" s="15" t="inlineStr">
        <is>
          <t>No query exceeds 500ms</t>
        </is>
      </c>
      <c r="H151" s="15" t="inlineStr">
        <is>
          <t>Production-like data.</t>
        </is>
      </c>
      <c r="I151" s="15" t="inlineStr">
        <is>
          <t>1. Enable Prisma slowQuery logging
2. Browse top 10 pages</t>
        </is>
      </c>
      <c r="J151" s="15" t="inlineStr">
        <is>
          <t>(none)</t>
        </is>
      </c>
      <c r="K151" s="15" t="inlineStr">
        <is>
          <t>No row in slow log.</t>
        </is>
      </c>
      <c r="L151" s="15" t="inlineStr">
        <is>
          <t>Slow queries cascade into request timeouts.</t>
        </is>
      </c>
      <c r="M151" s="15" t="inlineStr"/>
      <c r="N151" s="4" t="inlineStr"/>
      <c r="O151" s="15" t="inlineStr"/>
      <c r="P151" s="15" t="inlineStr"/>
      <c r="Q151" s="15" t="inlineStr"/>
      <c r="R151" s="15" t="inlineStr"/>
    </row>
    <row r="152" ht="45" customHeight="1">
      <c r="A152" s="4" t="inlineStr">
        <is>
          <t>TC-0150</t>
        </is>
      </c>
      <c r="B152" s="4" t="inlineStr">
        <is>
          <t>19 — Performance &amp; Load</t>
        </is>
      </c>
      <c r="C152" s="4" t="inlineStr">
        <is>
          <t>Concurrent bots</t>
        </is>
      </c>
      <c r="D152" s="28" t="inlineStr">
        <is>
          <t>Performance</t>
        </is>
      </c>
      <c r="E152" s="23" t="inlineStr">
        <is>
          <t>P1</t>
        </is>
      </c>
      <c r="F152" s="4" t="inlineStr">
        <is>
          <t>Specialist</t>
        </is>
      </c>
      <c r="G152" s="4" t="inlineStr">
        <is>
          <t>Worker handles 10 concurrent bot jobs</t>
        </is>
      </c>
      <c r="H152" s="4" t="inlineStr">
        <is>
          <t>10 jobs queued.</t>
        </is>
      </c>
      <c r="I152" s="4" t="inlineStr">
        <is>
          <t>1. Push 10 jobs</t>
        </is>
      </c>
      <c r="J152" s="4" t="inlineStr">
        <is>
          <t>(none)</t>
        </is>
      </c>
      <c r="K152" s="4" t="inlineStr">
        <is>
          <t>All complete or REQUIRES_MANUAL within expected window. No deadlocks.</t>
        </is>
      </c>
      <c r="L152" s="4" t="inlineStr">
        <is>
          <t>Throughput sustains daily bot volume.</t>
        </is>
      </c>
      <c r="M152" s="4" t="inlineStr"/>
      <c r="N152" s="4" t="inlineStr"/>
      <c r="O152" s="4" t="inlineStr"/>
      <c r="P152" s="4" t="inlineStr"/>
      <c r="Q152" s="4" t="inlineStr"/>
      <c r="R152" s="4" t="inlineStr"/>
    </row>
    <row r="153" ht="45" customHeight="1">
      <c r="A153" s="15" t="inlineStr">
        <is>
          <t>TC-0151</t>
        </is>
      </c>
      <c r="B153" s="15" t="inlineStr">
        <is>
          <t>20 — Accessibility &amp; UX</t>
        </is>
      </c>
      <c r="C153" s="15" t="inlineStr">
        <is>
          <t>Axe scan</t>
        </is>
      </c>
      <c r="D153" s="29" t="inlineStr">
        <is>
          <t>A11y</t>
        </is>
      </c>
      <c r="E153" s="17" t="inlineStr">
        <is>
          <t>P0</t>
        </is>
      </c>
      <c r="F153" s="15" t="inlineStr">
        <is>
          <t>Specialist</t>
        </is>
      </c>
      <c r="G153" s="15" t="inlineStr">
        <is>
          <t>/dashboard passes axe with zero serious issues</t>
        </is>
      </c>
      <c r="H153" s="15" t="inlineStr">
        <is>
          <t>(none)</t>
        </is>
      </c>
      <c r="I153" s="15" t="inlineStr">
        <is>
          <t>1. Run @axe-core/playwright on /dashboard</t>
        </is>
      </c>
      <c r="J153" s="15" t="inlineStr">
        <is>
          <t>(none)</t>
        </is>
      </c>
      <c r="K153" s="15" t="inlineStr">
        <is>
          <t>Zero serious / critical violations.</t>
        </is>
      </c>
      <c r="L153" s="15" t="inlineStr">
        <is>
          <t>ADA compliance + good UX baseline.</t>
        </is>
      </c>
      <c r="M153" s="15" t="inlineStr"/>
      <c r="N153" s="4" t="inlineStr"/>
      <c r="O153" s="15" t="inlineStr"/>
      <c r="P153" s="15" t="inlineStr"/>
      <c r="Q153" s="15" t="inlineStr"/>
      <c r="R153" s="15" t="inlineStr"/>
    </row>
    <row r="154" ht="45" customHeight="1">
      <c r="A154" s="4" t="inlineStr">
        <is>
          <t>TC-0152</t>
        </is>
      </c>
      <c r="B154" s="4" t="inlineStr">
        <is>
          <t>20 — Accessibility &amp; UX</t>
        </is>
      </c>
      <c r="C154" s="4" t="inlineStr">
        <is>
          <t>Keyboard nav</t>
        </is>
      </c>
      <c r="D154" s="29" t="inlineStr">
        <is>
          <t>A11y</t>
        </is>
      </c>
      <c r="E154" s="17" t="inlineStr">
        <is>
          <t>P0</t>
        </is>
      </c>
      <c r="F154" s="4" t="inlineStr">
        <is>
          <t>Specialist</t>
        </is>
      </c>
      <c r="G154" s="4" t="inlineStr">
        <is>
          <t>All sidebar items reachable by Tab</t>
        </is>
      </c>
      <c r="H154" s="4" t="inlineStr">
        <is>
          <t>Logged in.</t>
        </is>
      </c>
      <c r="I154" s="4" t="inlineStr">
        <is>
          <t>1. Tab through sidebar</t>
        </is>
      </c>
      <c r="J154" s="4" t="inlineStr">
        <is>
          <t>(none)</t>
        </is>
      </c>
      <c r="K154" s="4" t="inlineStr">
        <is>
          <t>Every group toggle + link receives focus with visible outline.</t>
        </is>
      </c>
      <c r="L154" s="4" t="inlineStr">
        <is>
          <t>Many users navigate keyboard-only.</t>
        </is>
      </c>
      <c r="M154" s="4" t="inlineStr"/>
      <c r="N154" s="4" t="inlineStr"/>
      <c r="O154" s="4" t="inlineStr"/>
      <c r="P154" s="4" t="inlineStr"/>
      <c r="Q154" s="4" t="inlineStr"/>
      <c r="R154" s="4" t="inlineStr"/>
    </row>
    <row r="155" ht="45" customHeight="1">
      <c r="A155" s="15" t="inlineStr">
        <is>
          <t>TC-0153</t>
        </is>
      </c>
      <c r="B155" s="15" t="inlineStr">
        <is>
          <t>20 — Accessibility &amp; UX</t>
        </is>
      </c>
      <c r="C155" s="15" t="inlineStr">
        <is>
          <t>Sidebar accordion</t>
        </is>
      </c>
      <c r="D155" s="29" t="inlineStr">
        <is>
          <t>A11y</t>
        </is>
      </c>
      <c r="E155" s="23" t="inlineStr">
        <is>
          <t>P1</t>
        </is>
      </c>
      <c r="F155" s="15" t="inlineStr">
        <is>
          <t>Specialist</t>
        </is>
      </c>
      <c r="G155" s="15" t="inlineStr">
        <is>
          <t>Accordion toggles announce state</t>
        </is>
      </c>
      <c r="H155" s="15" t="inlineStr">
        <is>
          <t>Screen reader on.</t>
        </is>
      </c>
      <c r="I155" s="15" t="inlineStr">
        <is>
          <t>1. Activate group header</t>
        </is>
      </c>
      <c r="J155" s="15" t="inlineStr">
        <is>
          <t>(none)</t>
        </is>
      </c>
      <c r="K155" s="15" t="inlineStr">
        <is>
          <t>Reader announces expanded/collapsed state via aria-expanded.</t>
        </is>
      </c>
      <c r="L155" s="15" t="inlineStr">
        <is>
          <t>AT users need state info.</t>
        </is>
      </c>
      <c r="M155" s="15" t="inlineStr"/>
      <c r="N155" s="4" t="inlineStr"/>
      <c r="O155" s="15" t="inlineStr"/>
      <c r="P155" s="15" t="inlineStr"/>
      <c r="Q155" s="15" t="inlineStr"/>
      <c r="R155" s="15" t="inlineStr"/>
    </row>
    <row r="156" ht="45" customHeight="1">
      <c r="A156" s="4" t="inlineStr">
        <is>
          <t>TC-0154</t>
        </is>
      </c>
      <c r="B156" s="4" t="inlineStr">
        <is>
          <t>20 — Accessibility &amp; UX</t>
        </is>
      </c>
      <c r="C156" s="4" t="inlineStr">
        <is>
          <t>Color contrast</t>
        </is>
      </c>
      <c r="D156" s="29" t="inlineStr">
        <is>
          <t>A11y</t>
        </is>
      </c>
      <c r="E156" s="23" t="inlineStr">
        <is>
          <t>P1</t>
        </is>
      </c>
      <c r="F156" s="4" t="inlineStr">
        <is>
          <t>Specialist</t>
        </is>
      </c>
      <c r="G156" s="4" t="inlineStr">
        <is>
          <t>All text meets WCAG AA</t>
        </is>
      </c>
      <c r="H156" s="4" t="inlineStr">
        <is>
          <t>Run axe.</t>
        </is>
      </c>
      <c r="I156" s="4" t="inlineStr">
        <is>
          <t>1. Run axe contrast checks</t>
        </is>
      </c>
      <c r="J156" s="4" t="inlineStr">
        <is>
          <t>(none)</t>
        </is>
      </c>
      <c r="K156" s="4" t="inlineStr">
        <is>
          <t>Zero contrast violations.</t>
        </is>
      </c>
      <c r="L156" s="4" t="inlineStr">
        <is>
          <t>Low contrast = unreadable for many users.</t>
        </is>
      </c>
      <c r="M156" s="4" t="inlineStr"/>
      <c r="N156" s="4" t="inlineStr"/>
      <c r="O156" s="4" t="inlineStr"/>
      <c r="P156" s="4" t="inlineStr"/>
      <c r="Q156" s="4" t="inlineStr"/>
      <c r="R156" s="4" t="inlineStr"/>
    </row>
    <row r="157" ht="45" customHeight="1">
      <c r="A157" s="15" t="inlineStr">
        <is>
          <t>TC-0155</t>
        </is>
      </c>
      <c r="B157" s="15" t="inlineStr">
        <is>
          <t>20 — Accessibility &amp; UX</t>
        </is>
      </c>
      <c r="C157" s="15" t="inlineStr">
        <is>
          <t>Focus trap</t>
        </is>
      </c>
      <c r="D157" s="29" t="inlineStr">
        <is>
          <t>A11y</t>
        </is>
      </c>
      <c r="E157" s="23" t="inlineStr">
        <is>
          <t>P1</t>
        </is>
      </c>
      <c r="F157" s="15" t="inlineStr">
        <is>
          <t>Specialist</t>
        </is>
      </c>
      <c r="G157" s="15" t="inlineStr">
        <is>
          <t>Modals trap focus and restore on close</t>
        </is>
      </c>
      <c r="H157" s="15" t="inlineStr">
        <is>
          <t>Open committee vote modal.</t>
        </is>
      </c>
      <c r="I157" s="15" t="inlineStr">
        <is>
          <t>1. Tab through
2. Esc to close
3. Confirm focus restored to trigger</t>
        </is>
      </c>
      <c r="J157" s="15" t="inlineStr">
        <is>
          <t>(none)</t>
        </is>
      </c>
      <c r="K157" s="15" t="inlineStr">
        <is>
          <t>Focus stays in modal; restored after close.</t>
        </is>
      </c>
      <c r="L157" s="15" t="inlineStr">
        <is>
          <t>Standard a11y pattern.</t>
        </is>
      </c>
      <c r="M157" s="15" t="inlineStr"/>
      <c r="N157" s="4" t="inlineStr"/>
      <c r="O157" s="15" t="inlineStr"/>
      <c r="P157" s="15" t="inlineStr"/>
      <c r="Q157" s="15" t="inlineStr"/>
      <c r="R157" s="15" t="inlineStr"/>
    </row>
    <row r="158" ht="45" customHeight="1">
      <c r="A158" s="4" t="inlineStr">
        <is>
          <t>TC-0156</t>
        </is>
      </c>
      <c r="B158" s="4" t="inlineStr">
        <is>
          <t>20 — Accessibility &amp; UX</t>
        </is>
      </c>
      <c r="C158" s="4" t="inlineStr">
        <is>
          <t>Toast</t>
        </is>
      </c>
      <c r="D158" s="27" t="inlineStr">
        <is>
          <t>UX</t>
        </is>
      </c>
      <c r="E158" s="23" t="inlineStr">
        <is>
          <t>P1</t>
        </is>
      </c>
      <c r="F158" s="4" t="inlineStr">
        <is>
          <t>Specialist</t>
        </is>
      </c>
      <c r="G158" s="4" t="inlineStr">
        <is>
          <t>Success toasts auto-dismiss; errors persist until acked</t>
        </is>
      </c>
      <c r="H158" s="4" t="inlineStr">
        <is>
          <t>Trigger save.</t>
        </is>
      </c>
      <c r="I158" s="4" t="inlineStr">
        <is>
          <t>1. Inspect toast behavior</t>
        </is>
      </c>
      <c r="J158" s="4" t="inlineStr">
        <is>
          <t>(none)</t>
        </is>
      </c>
      <c r="K158" s="4" t="inlineStr">
        <is>
          <t>Success disappears after 3s. Error stays until clicked.</t>
        </is>
      </c>
      <c r="L158" s="4" t="inlineStr">
        <is>
          <t>Errors must be seen.</t>
        </is>
      </c>
      <c r="M158" s="4" t="inlineStr"/>
      <c r="N158" s="4" t="inlineStr"/>
      <c r="O158" s="4" t="inlineStr"/>
      <c r="P158" s="4" t="inlineStr"/>
      <c r="Q158" s="4" t="inlineStr"/>
      <c r="R158" s="4" t="inlineStr"/>
    </row>
    <row r="159" ht="45" customHeight="1">
      <c r="A159" s="15" t="inlineStr">
        <is>
          <t>TC-0157</t>
        </is>
      </c>
      <c r="B159" s="15" t="inlineStr">
        <is>
          <t>20 — Accessibility &amp; UX</t>
        </is>
      </c>
      <c r="C159" s="15" t="inlineStr">
        <is>
          <t>Loading states</t>
        </is>
      </c>
      <c r="D159" s="27" t="inlineStr">
        <is>
          <t>UX</t>
        </is>
      </c>
      <c r="E159" s="23" t="inlineStr">
        <is>
          <t>P1</t>
        </is>
      </c>
      <c r="F159" s="15" t="inlineStr">
        <is>
          <t>Specialist</t>
        </is>
      </c>
      <c r="G159" s="15" t="inlineStr">
        <is>
          <t>Skeletons shown during data fetch</t>
        </is>
      </c>
      <c r="H159" s="15" t="inlineStr">
        <is>
          <t>Slow network throttle.</t>
        </is>
      </c>
      <c r="I159" s="15" t="inlineStr">
        <is>
          <t>1. Throttle network
2. Reload</t>
        </is>
      </c>
      <c r="J159" s="15" t="inlineStr">
        <is>
          <t>(none)</t>
        </is>
      </c>
      <c r="K159" s="15" t="inlineStr">
        <is>
          <t>Skeletons appear. No flash of empty state.</t>
        </is>
      </c>
      <c r="L159" s="15" t="inlineStr">
        <is>
          <t>Perceived performance &gt; raw performance.</t>
        </is>
      </c>
      <c r="M159" s="15" t="inlineStr"/>
      <c r="N159" s="4" t="inlineStr"/>
      <c r="O159" s="15" t="inlineStr"/>
      <c r="P159" s="15" t="inlineStr"/>
      <c r="Q159" s="15" t="inlineStr"/>
      <c r="R159" s="15" t="inlineStr"/>
    </row>
    <row r="160" ht="45" customHeight="1">
      <c r="A160" s="4" t="inlineStr">
        <is>
          <t>TC-0158</t>
        </is>
      </c>
      <c r="B160" s="4" t="inlineStr">
        <is>
          <t>20 — Accessibility &amp; UX</t>
        </is>
      </c>
      <c r="C160" s="4" t="inlineStr">
        <is>
          <t>Empty states</t>
        </is>
      </c>
      <c r="D160" s="27" t="inlineStr">
        <is>
          <t>UX</t>
        </is>
      </c>
      <c r="E160" s="23" t="inlineStr">
        <is>
          <t>P1</t>
        </is>
      </c>
      <c r="F160" s="4" t="inlineStr">
        <is>
          <t>Specialist</t>
        </is>
      </c>
      <c r="G160" s="4" t="inlineStr">
        <is>
          <t>Empty list pages show helpful CTA</t>
        </is>
      </c>
      <c r="H160" s="4" t="inlineStr">
        <is>
          <t>Empty entity list.</t>
        </is>
      </c>
      <c r="I160" s="4" t="inlineStr">
        <is>
          <t>1. /reports for new tenant</t>
        </is>
      </c>
      <c r="J160" s="4" t="inlineStr">
        <is>
          <t>(none)</t>
        </is>
      </c>
      <c r="K160" s="4" t="inlineStr">
        <is>
          <t>'No reports yet — create your first' with button.</t>
        </is>
      </c>
      <c r="L160" s="4" t="inlineStr">
        <is>
          <t>First-run delight.</t>
        </is>
      </c>
      <c r="M160" s="4" t="inlineStr"/>
      <c r="N160" s="4" t="inlineStr"/>
      <c r="O160" s="4" t="inlineStr"/>
      <c r="P160" s="4" t="inlineStr"/>
      <c r="Q160" s="4" t="inlineStr"/>
      <c r="R160" s="4" t="inlineStr"/>
    </row>
    <row r="161" ht="45" customHeight="1">
      <c r="A161" s="15" t="inlineStr">
        <is>
          <t>TC-0159</t>
        </is>
      </c>
      <c r="B161" s="15" t="inlineStr">
        <is>
          <t>20 — Accessibility &amp; UX</t>
        </is>
      </c>
      <c r="C161" s="15" t="inlineStr">
        <is>
          <t>Error states</t>
        </is>
      </c>
      <c r="D161" s="27" t="inlineStr">
        <is>
          <t>UX</t>
        </is>
      </c>
      <c r="E161" s="17" t="inlineStr">
        <is>
          <t>P0</t>
        </is>
      </c>
      <c r="F161" s="15" t="inlineStr">
        <is>
          <t>Specialist</t>
        </is>
      </c>
      <c r="G161" s="15" t="inlineStr">
        <is>
          <t>API failure shows user-friendly error</t>
        </is>
      </c>
      <c r="H161" s="15" t="inlineStr">
        <is>
          <t>Force 500 on a tile.</t>
        </is>
      </c>
      <c r="I161" s="15" t="inlineStr">
        <is>
          <t>1. Reload</t>
        </is>
      </c>
      <c r="J161" s="15" t="inlineStr">
        <is>
          <t>(none)</t>
        </is>
      </c>
      <c r="K161" s="15" t="inlineStr">
        <is>
          <t>Tile shows '⚠ Unable to load' with retry button. App keeps working.</t>
        </is>
      </c>
      <c r="L161" s="15" t="inlineStr">
        <is>
          <t>Silent failures erode trust.</t>
        </is>
      </c>
      <c r="M161" s="15" t="inlineStr"/>
      <c r="N161" s="4" t="inlineStr"/>
      <c r="O161" s="15" t="inlineStr"/>
      <c r="P161" s="15" t="inlineStr"/>
      <c r="Q161" s="15" t="inlineStr"/>
      <c r="R161" s="15" t="inlineStr"/>
    </row>
    <row r="162" ht="45" customHeight="1">
      <c r="A162" s="4" t="inlineStr">
        <is>
          <t>TC-0160</t>
        </is>
      </c>
      <c r="B162" s="4" t="inlineStr">
        <is>
          <t>20 — Accessibility &amp; UX</t>
        </is>
      </c>
      <c r="C162" s="4" t="inlineStr">
        <is>
          <t>Responsive</t>
        </is>
      </c>
      <c r="D162" s="27" t="inlineStr">
        <is>
          <t>UX</t>
        </is>
      </c>
      <c r="E162" s="23" t="inlineStr">
        <is>
          <t>P1</t>
        </is>
      </c>
      <c r="F162" s="4" t="inlineStr">
        <is>
          <t>Specialist</t>
        </is>
      </c>
      <c r="G162" s="4" t="inlineStr">
        <is>
          <t>Sidebar collapses on narrow viewport</t>
        </is>
      </c>
      <c r="H162" s="4" t="inlineStr">
        <is>
          <t>Resize browser to 768px.</t>
        </is>
      </c>
      <c r="I162" s="4" t="inlineStr">
        <is>
          <t>1. Resize</t>
        </is>
      </c>
      <c r="J162" s="4" t="inlineStr">
        <is>
          <t>(none)</t>
        </is>
      </c>
      <c r="K162" s="4" t="inlineStr">
        <is>
          <t>Sidebar becomes off-canvas / hamburger.</t>
        </is>
      </c>
      <c r="L162" s="4" t="inlineStr">
        <is>
          <t>Tablet/laptop usability.</t>
        </is>
      </c>
      <c r="M162" s="4" t="inlineStr"/>
      <c r="N162" s="4" t="inlineStr"/>
      <c r="O162" s="4" t="inlineStr"/>
      <c r="P162" s="4" t="inlineStr"/>
      <c r="Q162" s="4" t="inlineStr"/>
      <c r="R162" s="4" t="inlineStr"/>
    </row>
    <row r="163" ht="45" customHeight="1">
      <c r="A163" s="15" t="inlineStr">
        <is>
          <t>TC-0161</t>
        </is>
      </c>
      <c r="B163" s="15" t="inlineStr">
        <is>
          <t>20 — Accessibility &amp; UX</t>
        </is>
      </c>
      <c r="C163" s="15" t="inlineStr">
        <is>
          <t>Consistency</t>
        </is>
      </c>
      <c r="D163" s="27" t="inlineStr">
        <is>
          <t>UX</t>
        </is>
      </c>
      <c r="E163" s="23" t="inlineStr">
        <is>
          <t>P1</t>
        </is>
      </c>
      <c r="F163" s="15" t="inlineStr">
        <is>
          <t>Specialist</t>
        </is>
      </c>
      <c r="G163" s="15" t="inlineStr">
        <is>
          <t>Buttons share style across modules</t>
        </is>
      </c>
      <c r="H163" s="15" t="inlineStr">
        <is>
          <t>(none)</t>
        </is>
      </c>
      <c r="I163" s="15" t="inlineStr">
        <is>
          <t>1. Visually compare primary buttons across pages</t>
        </is>
      </c>
      <c r="J163" s="15" t="inlineStr">
        <is>
          <t>(none)</t>
        </is>
      </c>
      <c r="K163" s="15" t="inlineStr">
        <is>
          <t>Same height, color, padding, focus ring.</t>
        </is>
      </c>
      <c r="L163" s="15" t="inlineStr">
        <is>
          <t>Visual chaos = perceived as buggy.</t>
        </is>
      </c>
      <c r="M163" s="15" t="inlineStr"/>
      <c r="N163" s="4" t="inlineStr"/>
      <c r="O163" s="15" t="inlineStr"/>
      <c r="P163" s="15" t="inlineStr"/>
      <c r="Q163" s="15" t="inlineStr"/>
      <c r="R163" s="15" t="inlineStr"/>
    </row>
    <row r="164" ht="45" customHeight="1">
      <c r="A164" s="4" t="inlineStr">
        <is>
          <t>TC-0162</t>
        </is>
      </c>
      <c r="B164" s="4" t="inlineStr">
        <is>
          <t>20 — Accessibility &amp; UX</t>
        </is>
      </c>
      <c r="C164" s="4" t="inlineStr">
        <is>
          <t>Dates</t>
        </is>
      </c>
      <c r="D164" s="27" t="inlineStr">
        <is>
          <t>UX</t>
        </is>
      </c>
      <c r="E164" s="23" t="inlineStr">
        <is>
          <t>P1</t>
        </is>
      </c>
      <c r="F164" s="4" t="inlineStr">
        <is>
          <t>Specialist</t>
        </is>
      </c>
      <c r="G164" s="4" t="inlineStr">
        <is>
          <t>Dates formatted consistently</t>
        </is>
      </c>
      <c r="H164" s="4" t="inlineStr">
        <is>
          <t>(none)</t>
        </is>
      </c>
      <c r="I164" s="4" t="inlineStr">
        <is>
          <t>1. Spot-check dates across pages</t>
        </is>
      </c>
      <c r="J164" s="4" t="inlineStr">
        <is>
          <t>(none)</t>
        </is>
      </c>
      <c r="K164" s="4" t="inlineStr">
        <is>
          <t>All MMM d, yyyy or all yyyy-MM-dd — consistent app-wide.</t>
        </is>
      </c>
      <c r="L164" s="4" t="inlineStr">
        <is>
          <t>Mixed formats confuse users.</t>
        </is>
      </c>
      <c r="M164" s="4" t="inlineStr"/>
      <c r="N164" s="4" t="inlineStr"/>
      <c r="O164" s="4" t="inlineStr"/>
      <c r="P164" s="4" t="inlineStr"/>
      <c r="Q164" s="4" t="inlineStr"/>
      <c r="R164" s="4" t="inlineStr"/>
    </row>
    <row r="165" ht="45" customHeight="1">
      <c r="A165" s="15" t="inlineStr">
        <is>
          <t>TC-0163</t>
        </is>
      </c>
      <c r="B165" s="15" t="inlineStr">
        <is>
          <t>20 — Accessibility &amp; UX</t>
        </is>
      </c>
      <c r="C165" s="15" t="inlineStr">
        <is>
          <t>Currency</t>
        </is>
      </c>
      <c r="D165" s="27" t="inlineStr">
        <is>
          <t>UX</t>
        </is>
      </c>
      <c r="E165" s="19" t="inlineStr">
        <is>
          <t>P2</t>
        </is>
      </c>
      <c r="F165" s="15" t="inlineStr">
        <is>
          <t>Specialist</t>
        </is>
      </c>
      <c r="G165" s="15" t="inlineStr">
        <is>
          <t>Currency formatted with $ + thousands separators</t>
        </is>
      </c>
      <c r="H165" s="15" t="inlineStr">
        <is>
          <t>Provider with malpractice limit.</t>
        </is>
      </c>
      <c r="I165" s="15" t="inlineStr">
        <is>
          <t>1. Inspect coverage display</t>
        </is>
      </c>
      <c r="J165" s="15" t="inlineStr">
        <is>
          <t>(none)</t>
        </is>
      </c>
      <c r="K165" s="15" t="inlineStr">
        <is>
          <t>$1,000,000 not 1000000.</t>
        </is>
      </c>
      <c r="L165" s="15" t="inlineStr">
        <is>
          <t>Cognitive load.</t>
        </is>
      </c>
      <c r="M165" s="15" t="inlineStr"/>
      <c r="N165" s="4" t="inlineStr"/>
      <c r="O165" s="15" t="inlineStr"/>
      <c r="P165" s="15" t="inlineStr"/>
      <c r="Q165" s="15" t="inlineStr"/>
      <c r="R165" s="15" t="inlineStr"/>
    </row>
    <row r="166" ht="45" customHeight="1">
      <c r="A166" s="4" t="inlineStr">
        <is>
          <t>TC-0164</t>
        </is>
      </c>
      <c r="B166" s="4" t="inlineStr">
        <is>
          <t>21 — Browser &amp; Device Compatibility</t>
        </is>
      </c>
      <c r="C166" s="4" t="inlineStr">
        <is>
          <t>Chrome</t>
        </is>
      </c>
      <c r="D166" s="20" t="inlineStr">
        <is>
          <t>UI</t>
        </is>
      </c>
      <c r="E166" s="17" t="inlineStr">
        <is>
          <t>P0</t>
        </is>
      </c>
      <c r="F166" s="4" t="inlineStr">
        <is>
          <t>Specialist</t>
        </is>
      </c>
      <c r="G166" s="4" t="inlineStr">
        <is>
          <t>Smoke pass on latest Chrome</t>
        </is>
      </c>
      <c r="H166" s="4" t="inlineStr">
        <is>
          <t>(none)</t>
        </is>
      </c>
      <c r="I166" s="4" t="inlineStr">
        <is>
          <t>1. Run smoke test in Chrome</t>
        </is>
      </c>
      <c r="J166" s="4" t="inlineStr">
        <is>
          <t>(none)</t>
        </is>
      </c>
      <c r="K166" s="4" t="inlineStr">
        <is>
          <t>All flows pass. No console errors.</t>
        </is>
      </c>
      <c r="L166" s="4" t="inlineStr">
        <is>
          <t>Primary browser.</t>
        </is>
      </c>
      <c r="M166" s="4" t="inlineStr"/>
      <c r="N166" s="4" t="inlineStr"/>
      <c r="O166" s="4" t="inlineStr"/>
      <c r="P166" s="4" t="inlineStr"/>
      <c r="Q166" s="4" t="inlineStr"/>
      <c r="R166" s="4" t="inlineStr"/>
    </row>
    <row r="167" ht="45" customHeight="1">
      <c r="A167" s="15" t="inlineStr">
        <is>
          <t>TC-0165</t>
        </is>
      </c>
      <c r="B167" s="15" t="inlineStr">
        <is>
          <t>21 — Browser &amp; Device Compatibility</t>
        </is>
      </c>
      <c r="C167" s="15" t="inlineStr">
        <is>
          <t>Edge</t>
        </is>
      </c>
      <c r="D167" s="20" t="inlineStr">
        <is>
          <t>UI</t>
        </is>
      </c>
      <c r="E167" s="23" t="inlineStr">
        <is>
          <t>P1</t>
        </is>
      </c>
      <c r="F167" s="15" t="inlineStr">
        <is>
          <t>Specialist</t>
        </is>
      </c>
      <c r="G167" s="15" t="inlineStr">
        <is>
          <t>Smoke on latest Edge</t>
        </is>
      </c>
      <c r="H167" s="15" t="inlineStr">
        <is>
          <t>(none)</t>
        </is>
      </c>
      <c r="I167" s="15" t="inlineStr">
        <is>
          <t>1. Same</t>
        </is>
      </c>
      <c r="J167" s="15" t="inlineStr">
        <is>
          <t>(none)</t>
        </is>
      </c>
      <c r="K167" s="15" t="inlineStr">
        <is>
          <t>Pass.</t>
        </is>
      </c>
      <c r="L167" s="15" t="inlineStr">
        <is>
          <t>Common in enterprise.</t>
        </is>
      </c>
      <c r="M167" s="15" t="inlineStr"/>
      <c r="N167" s="4" t="inlineStr"/>
      <c r="O167" s="15" t="inlineStr"/>
      <c r="P167" s="15" t="inlineStr"/>
      <c r="Q167" s="15" t="inlineStr"/>
      <c r="R167" s="15" t="inlineStr"/>
    </row>
    <row r="168" ht="45" customHeight="1">
      <c r="A168" s="4" t="inlineStr">
        <is>
          <t>TC-0166</t>
        </is>
      </c>
      <c r="B168" s="4" t="inlineStr">
        <is>
          <t>21 — Browser &amp; Device Compatibility</t>
        </is>
      </c>
      <c r="C168" s="4" t="inlineStr">
        <is>
          <t>Firefox</t>
        </is>
      </c>
      <c r="D168" s="20" t="inlineStr">
        <is>
          <t>UI</t>
        </is>
      </c>
      <c r="E168" s="23" t="inlineStr">
        <is>
          <t>P1</t>
        </is>
      </c>
      <c r="F168" s="4" t="inlineStr">
        <is>
          <t>Specialist</t>
        </is>
      </c>
      <c r="G168" s="4" t="inlineStr">
        <is>
          <t>Smoke on Firefox</t>
        </is>
      </c>
      <c r="H168" s="4" t="inlineStr">
        <is>
          <t>(none)</t>
        </is>
      </c>
      <c r="I168" s="4" t="inlineStr">
        <is>
          <t>1. Same</t>
        </is>
      </c>
      <c r="J168" s="4" t="inlineStr">
        <is>
          <t>(none)</t>
        </is>
      </c>
      <c r="K168" s="4" t="inlineStr">
        <is>
          <t>Pass.</t>
        </is>
      </c>
      <c r="L168" s="4" t="inlineStr">
        <is>
          <t>Coverage.</t>
        </is>
      </c>
      <c r="M168" s="4" t="inlineStr"/>
      <c r="N168" s="4" t="inlineStr"/>
      <c r="O168" s="4" t="inlineStr"/>
      <c r="P168" s="4" t="inlineStr"/>
      <c r="Q168" s="4" t="inlineStr"/>
      <c r="R168" s="4" t="inlineStr"/>
    </row>
    <row r="169" ht="45" customHeight="1">
      <c r="A169" s="15" t="inlineStr">
        <is>
          <t>TC-0167</t>
        </is>
      </c>
      <c r="B169" s="15" t="inlineStr">
        <is>
          <t>21 — Browser &amp; Device Compatibility</t>
        </is>
      </c>
      <c r="C169" s="15" t="inlineStr">
        <is>
          <t>Safari</t>
        </is>
      </c>
      <c r="D169" s="20" t="inlineStr">
        <is>
          <t>UI</t>
        </is>
      </c>
      <c r="E169" s="19" t="inlineStr">
        <is>
          <t>P2</t>
        </is>
      </c>
      <c r="F169" s="15" t="inlineStr">
        <is>
          <t>Specialist</t>
        </is>
      </c>
      <c r="G169" s="15" t="inlineStr">
        <is>
          <t>Smoke on Safari</t>
        </is>
      </c>
      <c r="H169" s="15" t="inlineStr">
        <is>
          <t>(none)</t>
        </is>
      </c>
      <c r="I169" s="15" t="inlineStr">
        <is>
          <t>1. Same</t>
        </is>
      </c>
      <c r="J169" s="15" t="inlineStr">
        <is>
          <t>(none)</t>
        </is>
      </c>
      <c r="K169" s="15" t="inlineStr">
        <is>
          <t>Pass.</t>
        </is>
      </c>
      <c r="L169" s="15" t="inlineStr">
        <is>
          <t>Mac users.</t>
        </is>
      </c>
      <c r="M169" s="15" t="inlineStr"/>
      <c r="N169" s="4" t="inlineStr"/>
      <c r="O169" s="15" t="inlineStr"/>
      <c r="P169" s="15" t="inlineStr"/>
      <c r="Q169" s="15" t="inlineStr"/>
      <c r="R169" s="15" t="inlineStr"/>
    </row>
    <row r="170" ht="45" customHeight="1">
      <c r="A170" s="4" t="inlineStr">
        <is>
          <t>TC-0168</t>
        </is>
      </c>
      <c r="B170" s="4" t="inlineStr">
        <is>
          <t>21 — Browser &amp; Device Compatibility</t>
        </is>
      </c>
      <c r="C170" s="4" t="inlineStr">
        <is>
          <t>Mobile</t>
        </is>
      </c>
      <c r="D170" s="20" t="inlineStr">
        <is>
          <t>UI</t>
        </is>
      </c>
      <c r="E170" s="19" t="inlineStr">
        <is>
          <t>P2</t>
        </is>
      </c>
      <c r="F170" s="4" t="inlineStr">
        <is>
          <t>Specialist</t>
        </is>
      </c>
      <c r="G170" s="4" t="inlineStr">
        <is>
          <t>Provider portal usable on iOS Safari</t>
        </is>
      </c>
      <c r="H170" s="4" t="inlineStr">
        <is>
          <t>(none)</t>
        </is>
      </c>
      <c r="I170" s="4" t="inlineStr">
        <is>
          <t>1. Open application form on iPhone</t>
        </is>
      </c>
      <c r="J170" s="4" t="inlineStr">
        <is>
          <t>(none)</t>
        </is>
      </c>
      <c r="K170" s="4" t="inlineStr">
        <is>
          <t>Forms scroll, inputs work, no overflow.</t>
        </is>
      </c>
      <c r="L170" s="4" t="inlineStr">
        <is>
          <t>Providers often complete on phone.</t>
        </is>
      </c>
      <c r="M170" s="4" t="inlineStr"/>
      <c r="N170" s="4" t="inlineStr"/>
      <c r="O170" s="4" t="inlineStr"/>
      <c r="P170" s="4" t="inlineStr"/>
      <c r="Q170" s="4" t="inlineStr"/>
      <c r="R170" s="4" t="inlineStr"/>
    </row>
    <row r="171" ht="45" customHeight="1">
      <c r="A171" s="15" t="inlineStr">
        <is>
          <t>TC-0169</t>
        </is>
      </c>
      <c r="B171" s="15" t="inlineStr">
        <is>
          <t>22 — Observability</t>
        </is>
      </c>
      <c r="C171" s="15" t="inlineStr">
        <is>
          <t>Structured logs</t>
        </is>
      </c>
      <c r="D171" s="16" t="inlineStr">
        <is>
          <t>Functional</t>
        </is>
      </c>
      <c r="E171" s="23" t="inlineStr">
        <is>
          <t>P1</t>
        </is>
      </c>
      <c r="F171" s="15" t="inlineStr">
        <is>
          <t>Specialist</t>
        </is>
      </c>
      <c r="G171" s="15" t="inlineStr">
        <is>
          <t>Logs are JSON with traceId</t>
        </is>
      </c>
      <c r="H171" s="15" t="inlineStr">
        <is>
          <t>Make request.</t>
        </is>
      </c>
      <c r="I171" s="15" t="inlineStr">
        <is>
          <t>1. Inspect log line</t>
        </is>
      </c>
      <c r="J171" s="15" t="inlineStr">
        <is>
          <t>(none)</t>
        </is>
      </c>
      <c r="K171" s="15" t="inlineStr">
        <is>
          <t>JSON with timestamp, level, msg, traceId, userId.</t>
        </is>
      </c>
      <c r="L171" s="15" t="inlineStr">
        <is>
          <t>Required for log aggregation + tracing.</t>
        </is>
      </c>
      <c r="M171" s="15" t="inlineStr"/>
      <c r="N171" s="4" t="inlineStr"/>
      <c r="O171" s="15" t="inlineStr"/>
      <c r="P171" s="15" t="inlineStr"/>
      <c r="Q171" s="15" t="inlineStr"/>
      <c r="R171" s="15" t="inlineStr"/>
    </row>
    <row r="172" ht="45" customHeight="1">
      <c r="A172" s="4" t="inlineStr">
        <is>
          <t>TC-0170</t>
        </is>
      </c>
      <c r="B172" s="4" t="inlineStr">
        <is>
          <t>22 — Observability</t>
        </is>
      </c>
      <c r="C172" s="4" t="inlineStr">
        <is>
          <t>Metrics</t>
        </is>
      </c>
      <c r="D172" s="16" t="inlineStr">
        <is>
          <t>Functional</t>
        </is>
      </c>
      <c r="E172" s="23" t="inlineStr">
        <is>
          <t>P1</t>
        </is>
      </c>
      <c r="F172" s="4" t="inlineStr">
        <is>
          <t>Specialist</t>
        </is>
      </c>
      <c r="G172" s="4" t="inlineStr">
        <is>
          <t>Custom metrics exposed</t>
        </is>
      </c>
      <c r="H172" s="4" t="inlineStr">
        <is>
          <t>(none)</t>
        </is>
      </c>
      <c r="I172" s="4" t="inlineStr">
        <is>
          <t>1. curl /api/metrics</t>
        </is>
      </c>
      <c r="J172" s="4" t="inlineStr">
        <is>
          <t>(none)</t>
        </is>
      </c>
      <c r="K172" s="4" t="inlineStr">
        <is>
          <t>Counters: bot_runs_total, alerts_open, sla_breaches_total.</t>
        </is>
      </c>
      <c r="L172" s="4" t="inlineStr">
        <is>
          <t>Drives dashboards/alerts.</t>
        </is>
      </c>
      <c r="M172" s="4" t="inlineStr"/>
      <c r="N172" s="4" t="inlineStr"/>
      <c r="O172" s="4" t="inlineStr"/>
      <c r="P172" s="4" t="inlineStr"/>
      <c r="Q172" s="4" t="inlineStr"/>
      <c r="R172" s="4" t="inlineStr"/>
    </row>
    <row r="173" ht="45" customHeight="1">
      <c r="A173" s="15" t="inlineStr">
        <is>
          <t>TC-0171</t>
        </is>
      </c>
      <c r="B173" s="15" t="inlineStr">
        <is>
          <t>22 — Observability</t>
        </is>
      </c>
      <c r="C173" s="15" t="inlineStr">
        <is>
          <t>Trace propagation</t>
        </is>
      </c>
      <c r="D173" s="16" t="inlineStr">
        <is>
          <t>Functional</t>
        </is>
      </c>
      <c r="E173" s="19" t="inlineStr">
        <is>
          <t>P2</t>
        </is>
      </c>
      <c r="F173" s="15" t="inlineStr">
        <is>
          <t>Specialist</t>
        </is>
      </c>
      <c r="G173" s="15" t="inlineStr">
        <is>
          <t>Web → worker trace continues</t>
        </is>
      </c>
      <c r="H173" s="15" t="inlineStr">
        <is>
          <t>Trigger bot via UI.</t>
        </is>
      </c>
      <c r="I173" s="15" t="inlineStr">
        <is>
          <t>1. Inspect bot logs</t>
        </is>
      </c>
      <c r="J173" s="15" t="inlineStr">
        <is>
          <t>(none)</t>
        </is>
      </c>
      <c r="K173" s="15" t="inlineStr">
        <is>
          <t>Same traceId in worker logs.</t>
        </is>
      </c>
      <c r="L173" s="15" t="inlineStr">
        <is>
          <t>End-to-end tracing required.</t>
        </is>
      </c>
      <c r="M173" s="15" t="inlineStr"/>
      <c r="N173" s="4" t="inlineStr"/>
      <c r="O173" s="15" t="inlineStr"/>
      <c r="P173" s="15" t="inlineStr"/>
      <c r="Q173" s="15" t="inlineStr"/>
      <c r="R173" s="15" t="inlineStr"/>
    </row>
    <row r="174" ht="45" customHeight="1">
      <c r="A174" s="4" t="inlineStr">
        <is>
          <t>TC-0172</t>
        </is>
      </c>
      <c r="B174" s="4" t="inlineStr">
        <is>
          <t>23 — Regression Smoke (must always pass)</t>
        </is>
      </c>
      <c r="C174" s="4" t="inlineStr">
        <is>
          <t>Smoke</t>
        </is>
      </c>
      <c r="D174" s="30" t="inlineStr">
        <is>
          <t>Regression</t>
        </is>
      </c>
      <c r="E174" s="17" t="inlineStr">
        <is>
          <t>P0</t>
        </is>
      </c>
      <c r="F174" s="4" t="inlineStr">
        <is>
          <t>Specialist</t>
        </is>
      </c>
      <c r="G174" s="4" t="inlineStr">
        <is>
          <t>Sign in → Dashboard → Provider detail → Audit packet</t>
        </is>
      </c>
      <c r="H174" s="4" t="inlineStr">
        <is>
          <t>Seed data.</t>
        </is>
      </c>
      <c r="I174" s="4" t="inlineStr">
        <is>
          <t>1. Login
2. Dashboard loads
3. Open a provider
4. Generate audit packet</t>
        </is>
      </c>
      <c r="J174" s="4" t="inlineStr">
        <is>
          <t>(none)</t>
        </is>
      </c>
      <c r="K174" s="4" t="inlineStr">
        <is>
          <t>All steps complete without error in &lt;2 minutes.</t>
        </is>
      </c>
      <c r="L174" s="4" t="inlineStr">
        <is>
          <t>Single sentence sanity check used pre/post deploy.</t>
        </is>
      </c>
      <c r="M174" s="4" t="inlineStr"/>
      <c r="N174" s="4" t="inlineStr"/>
      <c r="O174" s="4" t="inlineStr"/>
      <c r="P174" s="4" t="inlineStr"/>
      <c r="Q174" s="4" t="inlineStr"/>
      <c r="R174" s="4" t="inlineStr"/>
    </row>
    <row r="175" ht="45" customHeight="1">
      <c r="A175" s="15" t="inlineStr">
        <is>
          <t>TC-0173</t>
        </is>
      </c>
      <c r="B175" s="15" t="inlineStr">
        <is>
          <t>23 — Regression Smoke (must always pass)</t>
        </is>
      </c>
      <c r="C175" s="15" t="inlineStr">
        <is>
          <t>Smoke</t>
        </is>
      </c>
      <c r="D175" s="30" t="inlineStr">
        <is>
          <t>Regression</t>
        </is>
      </c>
      <c r="E175" s="17" t="inlineStr">
        <is>
          <t>P0</t>
        </is>
      </c>
      <c r="F175" s="15" t="inlineStr">
        <is>
          <t>Specialist</t>
        </is>
      </c>
      <c r="G175" s="15" t="inlineStr">
        <is>
          <t>Provider invite → first save → upload</t>
        </is>
      </c>
      <c r="H175" s="15" t="inlineStr">
        <is>
          <t>(none)</t>
        </is>
      </c>
      <c r="I175" s="15" t="inlineStr">
        <is>
          <t>1. Send invite
2. As provider, save section 0
3. Upload doc</t>
        </is>
      </c>
      <c r="J175" s="15" t="inlineStr">
        <is>
          <t>(none)</t>
        </is>
      </c>
      <c r="K175" s="15" t="inlineStr">
        <is>
          <t>All work. Audit logs written.</t>
        </is>
      </c>
      <c r="L175" s="15" t="inlineStr">
        <is>
          <t>Provider-side smoke.</t>
        </is>
      </c>
      <c r="M175" s="15" t="inlineStr"/>
      <c r="N175" s="4" t="inlineStr"/>
      <c r="O175" s="15" t="inlineStr"/>
      <c r="P175" s="15" t="inlineStr"/>
      <c r="Q175" s="15" t="inlineStr"/>
      <c r="R175" s="15" t="inlineStr"/>
    </row>
    <row r="176" ht="45" customHeight="1">
      <c r="A176" s="4" t="inlineStr">
        <is>
          <t>TC-0174</t>
        </is>
      </c>
      <c r="B176" s="4" t="inlineStr">
        <is>
          <t>23 — Regression Smoke (must always pass)</t>
        </is>
      </c>
      <c r="C176" s="4" t="inlineStr">
        <is>
          <t>Smoke</t>
        </is>
      </c>
      <c r="D176" s="30" t="inlineStr">
        <is>
          <t>Regression</t>
        </is>
      </c>
      <c r="E176" s="17" t="inlineStr">
        <is>
          <t>P0</t>
        </is>
      </c>
      <c r="F176" s="4" t="inlineStr">
        <is>
          <t>Specialist</t>
        </is>
      </c>
      <c r="G176" s="4" t="inlineStr">
        <is>
          <t>Run any PSV bot end-to-end</t>
        </is>
      </c>
      <c r="H176" s="4" t="inlineStr">
        <is>
          <t>Test provider.</t>
        </is>
      </c>
      <c r="I176" s="4" t="inlineStr">
        <is>
          <t>1. Run sanctions OIG bot</t>
        </is>
      </c>
      <c r="J176" s="4" t="inlineStr">
        <is>
          <t>(none)</t>
        </is>
      </c>
      <c r="K176" s="4" t="inlineStr">
        <is>
          <t>Verification + PDF stored.</t>
        </is>
      </c>
      <c r="L176" s="4" t="inlineStr">
        <is>
          <t>Bots are revenue-critical.</t>
        </is>
      </c>
      <c r="M176" s="4" t="inlineStr"/>
      <c r="N176" s="4" t="inlineStr"/>
      <c r="O176" s="4" t="inlineStr"/>
      <c r="P176" s="4" t="inlineStr"/>
      <c r="Q176" s="4" t="inlineStr"/>
      <c r="R176" s="4" t="inlineStr"/>
    </row>
  </sheetData>
  <autoFilter ref="A2:R176"/>
  <mergeCells count="1">
    <mergeCell ref="A1:R1"/>
  </mergeCells>
  <conditionalFormatting sqref="N3:N17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2">
    <dataValidation sqref="N3:N176" showDropDown="0" showInputMessage="0" showErrorMessage="1" allowBlank="1" errorTitle="Invalid status" error="Select Pass, Fail, Blocked, Not Run, or N/A" type="list">
      <formula1>"Pass,Fail,Blocked,Not Run,N/A"</formula1>
    </dataValidation>
    <dataValidation sqref="F3:F176" showDropDown="0" showInputMessage="0" showErrorMessage="0" allowBlank="1" type="list">
      <formula1>"Specialist,Manager,Admin,Provider,Committee,Anonymous,DevOps"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36" customWidth="1" min="4" max="4"/>
    <col width="11" customWidth="1" min="5" max="5"/>
    <col width="10" customWidth="1" min="6" max="6"/>
    <col width="12" customWidth="1" min="7" max="7"/>
    <col width="50" customWidth="1" min="8" max="8"/>
    <col width="40" customWidth="1" min="9" max="9"/>
    <col width="40" customWidth="1" min="10" max="10"/>
    <col width="18" customWidth="1" min="11" max="11"/>
    <col width="18" customWidth="1" min="12" max="12"/>
    <col width="14" customWidth="1" min="13" max="13"/>
    <col width="12" customWidth="1" min="14" max="14"/>
    <col width="14" customWidth="1" min="15" max="15"/>
    <col width="50" customWidth="1" min="16" max="16"/>
    <col width="12" customWidth="1" min="17" max="17"/>
    <col width="14" customWidth="1" min="18" max="18"/>
  </cols>
  <sheetData>
    <row r="1" ht="36" customHeight="1">
      <c r="A1" s="1" t="inlineStr">
        <is>
          <t>Defect Log</t>
        </is>
      </c>
    </row>
    <row r="2" ht="32" customHeight="1">
      <c r="A2" s="31" t="inlineStr">
        <is>
          <t>Defect ID</t>
        </is>
      </c>
      <c r="B2" s="31" t="inlineStr">
        <is>
          <t>Linked Test ID</t>
        </is>
      </c>
      <c r="C2" s="31" t="inlineStr">
        <is>
          <t>Module</t>
        </is>
      </c>
      <c r="D2" s="31" t="inlineStr">
        <is>
          <t>Title</t>
        </is>
      </c>
      <c r="E2" s="31" t="inlineStr">
        <is>
          <t>Severity</t>
        </is>
      </c>
      <c r="F2" s="31" t="inlineStr">
        <is>
          <t>Priority</t>
        </is>
      </c>
      <c r="G2" s="31" t="inlineStr">
        <is>
          <t>Status</t>
        </is>
      </c>
      <c r="H2" s="31" t="inlineStr">
        <is>
          <t>Reproduction Steps</t>
        </is>
      </c>
      <c r="I2" s="31" t="inlineStr">
        <is>
          <t>Expected</t>
        </is>
      </c>
      <c r="J2" s="31" t="inlineStr">
        <is>
          <t>Actual</t>
        </is>
      </c>
      <c r="K2" s="31" t="inlineStr">
        <is>
          <t>Environment</t>
        </is>
      </c>
      <c r="L2" s="31" t="inlineStr">
        <is>
          <t>Browser / Device</t>
        </is>
      </c>
      <c r="M2" s="31" t="inlineStr">
        <is>
          <t>Reporter</t>
        </is>
      </c>
      <c r="N2" s="31" t="inlineStr">
        <is>
          <t>Reported Date</t>
        </is>
      </c>
      <c r="O2" s="31" t="inlineStr">
        <is>
          <t>Owner</t>
        </is>
      </c>
      <c r="P2" s="31" t="inlineStr">
        <is>
          <t>Resolution</t>
        </is>
      </c>
      <c r="Q2" s="31" t="inlineStr">
        <is>
          <t>Resolved Date</t>
        </is>
      </c>
      <c r="R2" s="31" t="inlineStr">
        <is>
          <t>Verified By</t>
        </is>
      </c>
    </row>
    <row r="3">
      <c r="A3" s="15" t="inlineStr"/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5" t="inlineStr"/>
      <c r="P3" s="15" t="inlineStr"/>
      <c r="Q3" s="15" t="inlineStr"/>
      <c r="R3" s="15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</row>
    <row r="5">
      <c r="A5" s="15" t="inlineStr"/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</row>
    <row r="7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</row>
    <row r="27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</row>
    <row r="3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</row>
    <row r="35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</row>
    <row r="39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</row>
    <row r="43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</row>
    <row r="47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</row>
    <row r="5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</row>
    <row r="55">
      <c r="A55" s="15" t="inlineStr"/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</row>
    <row r="57">
      <c r="A57" s="15" t="inlineStr"/>
      <c r="B57" s="15" t="inlineStr"/>
      <c r="C57" s="15" t="inlineStr"/>
      <c r="D57" s="15" t="inlineStr"/>
      <c r="E57" s="15" t="inlineStr"/>
      <c r="F57" s="15" t="inlineStr"/>
      <c r="G57" s="15" t="inlineStr"/>
      <c r="H57" s="15" t="inlineStr"/>
      <c r="I57" s="15" t="inlineStr"/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</row>
    <row r="58">
      <c r="A58" s="4" t="inlineStr"/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</row>
    <row r="59">
      <c r="A59" s="15" t="inlineStr"/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</row>
    <row r="60">
      <c r="A60" s="4" t="inlineStr"/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</row>
    <row r="61">
      <c r="A61" s="15" t="inlineStr"/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</row>
    <row r="62">
      <c r="A62" s="4" t="inlineStr"/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</row>
    <row r="63">
      <c r="A63" s="15" t="inlineStr"/>
      <c r="B63" s="15" t="inlineStr"/>
      <c r="C63" s="15" t="inlineStr"/>
      <c r="D63" s="15" t="inlineStr"/>
      <c r="E63" s="15" t="inlineStr"/>
      <c r="F63" s="15" t="inlineStr"/>
      <c r="G63" s="15" t="inlineStr"/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/>
      <c r="P63" s="15" t="inlineStr"/>
      <c r="Q63" s="15" t="inlineStr"/>
      <c r="R63" s="15" t="inlineStr"/>
    </row>
    <row r="64">
      <c r="A64" s="4" t="inlineStr"/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</row>
    <row r="65">
      <c r="A65" s="15" t="inlineStr"/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  <c r="J65" s="15" t="inlineStr"/>
      <c r="K65" s="15" t="inlineStr"/>
      <c r="L65" s="15" t="inlineStr"/>
      <c r="M65" s="15" t="inlineStr"/>
      <c r="N65" s="15" t="inlineStr"/>
      <c r="O65" s="15" t="inlineStr"/>
      <c r="P65" s="15" t="inlineStr"/>
      <c r="Q65" s="15" t="inlineStr"/>
      <c r="R65" s="15" t="inlineStr"/>
    </row>
    <row r="66">
      <c r="A66" s="4" t="inlineStr"/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</row>
    <row r="67">
      <c r="A67" s="15" t="inlineStr"/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  <c r="I67" s="15" t="inlineStr"/>
      <c r="J67" s="15" t="inlineStr"/>
      <c r="K67" s="15" t="inlineStr"/>
      <c r="L67" s="15" t="inlineStr"/>
      <c r="M67" s="15" t="inlineStr"/>
      <c r="N67" s="15" t="inlineStr"/>
      <c r="O67" s="15" t="inlineStr"/>
      <c r="P67" s="15" t="inlineStr"/>
      <c r="Q67" s="15" t="inlineStr"/>
      <c r="R67" s="15" t="inlineStr"/>
    </row>
    <row r="68">
      <c r="A68" s="4" t="inlineStr"/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</row>
    <row r="69">
      <c r="A69" s="15" t="inlineStr"/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  <c r="I69" s="15" t="inlineStr"/>
      <c r="J69" s="15" t="inlineStr"/>
      <c r="K69" s="15" t="inlineStr"/>
      <c r="L69" s="15" t="inlineStr"/>
      <c r="M69" s="15" t="inlineStr"/>
      <c r="N69" s="15" t="inlineStr"/>
      <c r="O69" s="15" t="inlineStr"/>
      <c r="P69" s="15" t="inlineStr"/>
      <c r="Q69" s="15" t="inlineStr"/>
      <c r="R69" s="15" t="inlineStr"/>
    </row>
    <row r="70">
      <c r="A70" s="4" t="inlineStr"/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</row>
    <row r="71">
      <c r="A71" s="15" t="inlineStr"/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  <c r="J71" s="15" t="inlineStr"/>
      <c r="K71" s="15" t="inlineStr"/>
      <c r="L71" s="15" t="inlineStr"/>
      <c r="M71" s="15" t="inlineStr"/>
      <c r="N71" s="15" t="inlineStr"/>
      <c r="O71" s="15" t="inlineStr"/>
      <c r="P71" s="15" t="inlineStr"/>
      <c r="Q71" s="15" t="inlineStr"/>
      <c r="R71" s="15" t="inlineStr"/>
    </row>
    <row r="72">
      <c r="A72" s="4" t="inlineStr"/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</row>
    <row r="73">
      <c r="A73" s="15" t="inlineStr"/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5" t="inlineStr"/>
      <c r="R73" s="15" t="inlineStr"/>
    </row>
    <row r="74">
      <c r="A74" s="4" t="inlineStr"/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</row>
    <row r="75">
      <c r="A75" s="15" t="inlineStr"/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5" t="inlineStr"/>
      <c r="K75" s="15" t="inlineStr"/>
      <c r="L75" s="15" t="inlineStr"/>
      <c r="M75" s="15" t="inlineStr"/>
      <c r="N75" s="15" t="inlineStr"/>
      <c r="O75" s="15" t="inlineStr"/>
      <c r="P75" s="15" t="inlineStr"/>
      <c r="Q75" s="15" t="inlineStr"/>
      <c r="R75" s="15" t="inlineStr"/>
    </row>
    <row r="76">
      <c r="A76" s="4" t="inlineStr"/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</row>
    <row r="77">
      <c r="A77" s="15" t="inlineStr"/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5" t="inlineStr"/>
      <c r="K77" s="15" t="inlineStr"/>
      <c r="L77" s="15" t="inlineStr"/>
      <c r="M77" s="15" t="inlineStr"/>
      <c r="N77" s="15" t="inlineStr"/>
      <c r="O77" s="15" t="inlineStr"/>
      <c r="P77" s="15" t="inlineStr"/>
      <c r="Q77" s="15" t="inlineStr"/>
      <c r="R77" s="15" t="inlineStr"/>
    </row>
    <row r="78">
      <c r="A78" s="4" t="inlineStr"/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</row>
    <row r="79">
      <c r="A79" s="15" t="inlineStr"/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  <c r="I79" s="15" t="inlineStr"/>
      <c r="J79" s="15" t="inlineStr"/>
      <c r="K79" s="15" t="inlineStr"/>
      <c r="L79" s="15" t="inlineStr"/>
      <c r="M79" s="15" t="inlineStr"/>
      <c r="N79" s="15" t="inlineStr"/>
      <c r="O79" s="15" t="inlineStr"/>
      <c r="P79" s="15" t="inlineStr"/>
      <c r="Q79" s="15" t="inlineStr"/>
      <c r="R79" s="15" t="inlineStr"/>
    </row>
    <row r="80">
      <c r="A80" s="4" t="inlineStr"/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</row>
    <row r="81">
      <c r="A81" s="15" t="inlineStr"/>
      <c r="B81" s="15" t="inlineStr"/>
      <c r="C81" s="15" t="inlineStr"/>
      <c r="D81" s="15" t="inlineStr"/>
      <c r="E81" s="15" t="inlineStr"/>
      <c r="F81" s="15" t="inlineStr"/>
      <c r="G81" s="15" t="inlineStr"/>
      <c r="H81" s="15" t="inlineStr"/>
      <c r="I81" s="15" t="inlineStr"/>
      <c r="J81" s="15" t="inlineStr"/>
      <c r="K81" s="15" t="inlineStr"/>
      <c r="L81" s="15" t="inlineStr"/>
      <c r="M81" s="15" t="inlineStr"/>
      <c r="N81" s="15" t="inlineStr"/>
      <c r="O81" s="15" t="inlineStr"/>
      <c r="P81" s="15" t="inlineStr"/>
      <c r="Q81" s="15" t="inlineStr"/>
      <c r="R81" s="15" t="inlineStr"/>
    </row>
    <row r="82">
      <c r="A82" s="4" t="inlineStr"/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</row>
    <row r="83">
      <c r="A83" s="15" t="inlineStr"/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  <c r="I83" s="15" t="inlineStr"/>
      <c r="J83" s="15" t="inlineStr"/>
      <c r="K83" s="15" t="inlineStr"/>
      <c r="L83" s="15" t="inlineStr"/>
      <c r="M83" s="15" t="inlineStr"/>
      <c r="N83" s="15" t="inlineStr"/>
      <c r="O83" s="15" t="inlineStr"/>
      <c r="P83" s="15" t="inlineStr"/>
      <c r="Q83" s="15" t="inlineStr"/>
      <c r="R83" s="15" t="inlineStr"/>
    </row>
    <row r="84">
      <c r="A84" s="4" t="inlineStr"/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</row>
    <row r="85">
      <c r="A85" s="15" t="inlineStr"/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5" t="inlineStr"/>
      <c r="Q85" s="15" t="inlineStr"/>
      <c r="R85" s="15" t="inlineStr"/>
    </row>
    <row r="86">
      <c r="A86" s="4" t="inlineStr"/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</row>
    <row r="87">
      <c r="A87" s="15" t="inlineStr"/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5" t="inlineStr"/>
      <c r="Q87" s="15" t="inlineStr"/>
      <c r="R87" s="15" t="inlineStr"/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</row>
    <row r="89">
      <c r="A89" s="15" t="inlineStr"/>
      <c r="B89" s="15" t="inlineStr"/>
      <c r="C89" s="15" t="inlineStr"/>
      <c r="D89" s="15" t="inlineStr"/>
      <c r="E89" s="15" t="inlineStr"/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5" t="inlineStr"/>
      <c r="P89" s="15" t="inlineStr"/>
      <c r="Q89" s="15" t="inlineStr"/>
      <c r="R89" s="15" t="inlineStr"/>
    </row>
    <row r="90">
      <c r="A90" s="4" t="inlineStr"/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</row>
    <row r="91">
      <c r="A91" s="15" t="inlineStr"/>
      <c r="B91" s="15" t="inlineStr"/>
      <c r="C91" s="15" t="inlineStr"/>
      <c r="D91" s="15" t="inlineStr"/>
      <c r="E91" s="15" t="inlineStr"/>
      <c r="F91" s="15" t="inlineStr"/>
      <c r="G91" s="15" t="inlineStr"/>
      <c r="H91" s="15" t="inlineStr"/>
      <c r="I91" s="15" t="inlineStr"/>
      <c r="J91" s="15" t="inlineStr"/>
      <c r="K91" s="15" t="inlineStr"/>
      <c r="L91" s="15" t="inlineStr"/>
      <c r="M91" s="15" t="inlineStr"/>
      <c r="N91" s="15" t="inlineStr"/>
      <c r="O91" s="15" t="inlineStr"/>
      <c r="P91" s="15" t="inlineStr"/>
      <c r="Q91" s="15" t="inlineStr"/>
      <c r="R91" s="15" t="inlineStr"/>
    </row>
    <row r="92">
      <c r="A92" s="4" t="inlineStr"/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</row>
    <row r="93">
      <c r="A93" s="15" t="inlineStr"/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</row>
    <row r="94">
      <c r="A94" s="4" t="inlineStr"/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</row>
    <row r="95">
      <c r="A95" s="15" t="inlineStr"/>
      <c r="B95" s="15" t="inlineStr"/>
      <c r="C95" s="15" t="inlineStr"/>
      <c r="D95" s="15" t="inlineStr"/>
      <c r="E95" s="15" t="inlineStr"/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</row>
    <row r="96">
      <c r="A96" s="4" t="inlineStr"/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</row>
    <row r="97">
      <c r="A97" s="15" t="inlineStr"/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</row>
    <row r="98">
      <c r="A98" s="4" t="inlineStr"/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</row>
    <row r="99">
      <c r="A99" s="15" t="inlineStr"/>
      <c r="B99" s="15" t="inlineStr"/>
      <c r="C99" s="15" t="inlineStr"/>
      <c r="D99" s="15" t="inlineStr"/>
      <c r="E99" s="15" t="inlineStr"/>
      <c r="F99" s="15" t="inlineStr"/>
      <c r="G99" s="15" t="inlineStr"/>
      <c r="H99" s="15" t="inlineStr"/>
      <c r="I99" s="15" t="inlineStr"/>
      <c r="J99" s="15" t="inlineStr"/>
      <c r="K99" s="15" t="inlineStr"/>
      <c r="L99" s="15" t="inlineStr"/>
      <c r="M99" s="15" t="inlineStr"/>
      <c r="N99" s="15" t="inlineStr"/>
      <c r="O99" s="15" t="inlineStr"/>
      <c r="P99" s="15" t="inlineStr"/>
      <c r="Q99" s="15" t="inlineStr"/>
      <c r="R99" s="15" t="inlineStr"/>
    </row>
    <row r="100">
      <c r="A100" s="4" t="inlineStr"/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</row>
    <row r="101">
      <c r="A101" s="15" t="inlineStr"/>
      <c r="B101" s="15" t="inlineStr"/>
      <c r="C101" s="15" t="inlineStr"/>
      <c r="D101" s="15" t="inlineStr"/>
      <c r="E101" s="15" t="inlineStr"/>
      <c r="F101" s="15" t="inlineStr"/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/>
      <c r="P101" s="15" t="inlineStr"/>
      <c r="Q101" s="15" t="inlineStr"/>
      <c r="R101" s="15" t="inlineStr"/>
    </row>
    <row r="102">
      <c r="A102" s="4" t="inlineStr"/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</row>
    <row r="103">
      <c r="A103" s="15" t="inlineStr"/>
      <c r="B103" s="15" t="inlineStr"/>
      <c r="C103" s="15" t="inlineStr"/>
      <c r="D103" s="15" t="inlineStr"/>
      <c r="E103" s="15" t="inlineStr"/>
      <c r="F103" s="15" t="inlineStr"/>
      <c r="G103" s="15" t="inlineStr"/>
      <c r="H103" s="15" t="inlineStr"/>
      <c r="I103" s="15" t="inlineStr"/>
      <c r="J103" s="15" t="inlineStr"/>
      <c r="K103" s="15" t="inlineStr"/>
      <c r="L103" s="15" t="inlineStr"/>
      <c r="M103" s="15" t="inlineStr"/>
      <c r="N103" s="15" t="inlineStr"/>
      <c r="O103" s="15" t="inlineStr"/>
      <c r="P103" s="15" t="inlineStr"/>
      <c r="Q103" s="15" t="inlineStr"/>
      <c r="R103" s="15" t="inlineStr"/>
    </row>
    <row r="104">
      <c r="A104" s="4" t="inlineStr"/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</row>
    <row r="105">
      <c r="A105" s="15" t="inlineStr"/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/>
      <c r="P105" s="15" t="inlineStr"/>
      <c r="Q105" s="15" t="inlineStr"/>
      <c r="R105" s="15" t="inlineStr"/>
    </row>
    <row r="106">
      <c r="A106" s="4" t="inlineStr"/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</row>
    <row r="107">
      <c r="A107" s="15" t="inlineStr"/>
      <c r="B107" s="15" t="inlineStr"/>
      <c r="C107" s="15" t="inlineStr"/>
      <c r="D107" s="15" t="inlineStr"/>
      <c r="E107" s="15" t="inlineStr"/>
      <c r="F107" s="15" t="inlineStr"/>
      <c r="G107" s="15" t="inlineStr"/>
      <c r="H107" s="15" t="inlineStr"/>
      <c r="I107" s="15" t="inlineStr"/>
      <c r="J107" s="15" t="inlineStr"/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</row>
    <row r="108">
      <c r="A108" s="4" t="inlineStr"/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</row>
    <row r="109">
      <c r="A109" s="15" t="inlineStr"/>
      <c r="B109" s="15" t="inlineStr"/>
      <c r="C109" s="15" t="inlineStr"/>
      <c r="D109" s="15" t="inlineStr"/>
      <c r="E109" s="15" t="inlineStr"/>
      <c r="F109" s="15" t="inlineStr"/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</row>
    <row r="110">
      <c r="A110" s="4" t="inlineStr"/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</row>
    <row r="111">
      <c r="A111" s="15" t="inlineStr"/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</row>
    <row r="112">
      <c r="A112" s="4" t="inlineStr"/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</row>
    <row r="113">
      <c r="A113" s="15" t="inlineStr"/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5" t="inlineStr"/>
      <c r="Q113" s="15" t="inlineStr"/>
      <c r="R113" s="15" t="inlineStr"/>
    </row>
    <row r="114">
      <c r="A114" s="4" t="inlineStr"/>
      <c r="B114" s="4" t="inlineStr"/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</row>
    <row r="115">
      <c r="A115" s="15" t="inlineStr"/>
      <c r="B115" s="15" t="inlineStr"/>
      <c r="C115" s="15" t="inlineStr"/>
      <c r="D115" s="15" t="inlineStr"/>
      <c r="E115" s="15" t="inlineStr"/>
      <c r="F115" s="15" t="inlineStr"/>
      <c r="G115" s="15" t="inlineStr"/>
      <c r="H115" s="15" t="inlineStr"/>
      <c r="I115" s="15" t="inlineStr"/>
      <c r="J115" s="15" t="inlineStr"/>
      <c r="K115" s="15" t="inlineStr"/>
      <c r="L115" s="15" t="inlineStr"/>
      <c r="M115" s="15" t="inlineStr"/>
      <c r="N115" s="15" t="inlineStr"/>
      <c r="O115" s="15" t="inlineStr"/>
      <c r="P115" s="15" t="inlineStr"/>
      <c r="Q115" s="15" t="inlineStr"/>
      <c r="R115" s="15" t="inlineStr"/>
    </row>
    <row r="116">
      <c r="A116" s="4" t="inlineStr"/>
      <c r="B116" s="4" t="inlineStr"/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</row>
    <row r="117">
      <c r="A117" s="15" t="inlineStr"/>
      <c r="B117" s="15" t="inlineStr"/>
      <c r="C117" s="15" t="inlineStr"/>
      <c r="D117" s="15" t="inlineStr"/>
      <c r="E117" s="15" t="inlineStr"/>
      <c r="F117" s="15" t="inlineStr"/>
      <c r="G117" s="15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</row>
    <row r="118">
      <c r="A118" s="4" t="inlineStr"/>
      <c r="B118" s="4" t="inlineStr"/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</row>
    <row r="119">
      <c r="A119" s="15" t="inlineStr"/>
      <c r="B119" s="15" t="inlineStr"/>
      <c r="C119" s="15" t="inlineStr"/>
      <c r="D119" s="15" t="inlineStr"/>
      <c r="E119" s="15" t="inlineStr"/>
      <c r="F119" s="15" t="inlineStr"/>
      <c r="G119" s="15" t="inlineStr"/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</row>
    <row r="120">
      <c r="A120" s="4" t="inlineStr"/>
      <c r="B120" s="4" t="inlineStr"/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</row>
    <row r="121">
      <c r="A121" s="15" t="inlineStr"/>
      <c r="B121" s="15" t="inlineStr"/>
      <c r="C121" s="15" t="inlineStr"/>
      <c r="D121" s="15" t="inlineStr"/>
      <c r="E121" s="15" t="inlineStr"/>
      <c r="F121" s="15" t="inlineStr"/>
      <c r="G121" s="15" t="inlineStr"/>
      <c r="H121" s="15" t="inlineStr"/>
      <c r="I121" s="15" t="inlineStr"/>
      <c r="J121" s="15" t="inlineStr"/>
      <c r="K121" s="15" t="inlineStr"/>
      <c r="L121" s="15" t="inlineStr"/>
      <c r="M121" s="15" t="inlineStr"/>
      <c r="N121" s="15" t="inlineStr"/>
      <c r="O121" s="15" t="inlineStr"/>
      <c r="P121" s="15" t="inlineStr"/>
      <c r="Q121" s="15" t="inlineStr"/>
      <c r="R121" s="15" t="inlineStr"/>
    </row>
    <row r="122">
      <c r="A122" s="4" t="inlineStr"/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</row>
    <row r="123">
      <c r="A123" s="15" t="inlineStr"/>
      <c r="B123" s="15" t="inlineStr"/>
      <c r="C123" s="15" t="inlineStr"/>
      <c r="D123" s="15" t="inlineStr"/>
      <c r="E123" s="15" t="inlineStr"/>
      <c r="F123" s="15" t="inlineStr"/>
      <c r="G123" s="15" t="inlineStr"/>
      <c r="H123" s="15" t="inlineStr"/>
      <c r="I123" s="15" t="inlineStr"/>
      <c r="J123" s="15" t="inlineStr"/>
      <c r="K123" s="15" t="inlineStr"/>
      <c r="L123" s="15" t="inlineStr"/>
      <c r="M123" s="15" t="inlineStr"/>
      <c r="N123" s="15" t="inlineStr"/>
      <c r="O123" s="15" t="inlineStr"/>
      <c r="P123" s="15" t="inlineStr"/>
      <c r="Q123" s="15" t="inlineStr"/>
      <c r="R123" s="15" t="inlineStr"/>
    </row>
    <row r="124">
      <c r="A124" s="4" t="inlineStr"/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</row>
    <row r="125">
      <c r="A125" s="15" t="inlineStr"/>
      <c r="B125" s="15" t="inlineStr"/>
      <c r="C125" s="15" t="inlineStr"/>
      <c r="D125" s="15" t="inlineStr"/>
      <c r="E125" s="15" t="inlineStr"/>
      <c r="F125" s="15" t="inlineStr"/>
      <c r="G125" s="15" t="inlineStr"/>
      <c r="H125" s="15" t="inlineStr"/>
      <c r="I125" s="15" t="inlineStr"/>
      <c r="J125" s="15" t="inlineStr"/>
      <c r="K125" s="15" t="inlineStr"/>
      <c r="L125" s="15" t="inlineStr"/>
      <c r="M125" s="15" t="inlineStr"/>
      <c r="N125" s="15" t="inlineStr"/>
      <c r="O125" s="15" t="inlineStr"/>
      <c r="P125" s="15" t="inlineStr"/>
      <c r="Q125" s="15" t="inlineStr"/>
      <c r="R125" s="15" t="inlineStr"/>
    </row>
    <row r="126">
      <c r="A126" s="4" t="inlineStr"/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</row>
    <row r="127">
      <c r="A127" s="15" t="inlineStr"/>
      <c r="B127" s="15" t="inlineStr"/>
      <c r="C127" s="15" t="inlineStr"/>
      <c r="D127" s="15" t="inlineStr"/>
      <c r="E127" s="15" t="inlineStr"/>
      <c r="F127" s="15" t="inlineStr"/>
      <c r="G127" s="15" t="inlineStr"/>
      <c r="H127" s="15" t="inlineStr"/>
      <c r="I127" s="15" t="inlineStr"/>
      <c r="J127" s="15" t="inlineStr"/>
      <c r="K127" s="15" t="inlineStr"/>
      <c r="L127" s="15" t="inlineStr"/>
      <c r="M127" s="15" t="inlineStr"/>
      <c r="N127" s="15" t="inlineStr"/>
      <c r="O127" s="15" t="inlineStr"/>
      <c r="P127" s="15" t="inlineStr"/>
      <c r="Q127" s="15" t="inlineStr"/>
      <c r="R127" s="15" t="inlineStr"/>
    </row>
    <row r="128">
      <c r="A128" s="4" t="inlineStr"/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</row>
    <row r="129">
      <c r="A129" s="15" t="inlineStr"/>
      <c r="B129" s="15" t="inlineStr"/>
      <c r="C129" s="15" t="inlineStr"/>
      <c r="D129" s="15" t="inlineStr"/>
      <c r="E129" s="15" t="inlineStr"/>
      <c r="F129" s="15" t="inlineStr"/>
      <c r="G129" s="15" t="inlineStr"/>
      <c r="H129" s="15" t="inlineStr"/>
      <c r="I129" s="15" t="inlineStr"/>
      <c r="J129" s="15" t="inlineStr"/>
      <c r="K129" s="15" t="inlineStr"/>
      <c r="L129" s="15" t="inlineStr"/>
      <c r="M129" s="15" t="inlineStr"/>
      <c r="N129" s="15" t="inlineStr"/>
      <c r="O129" s="15" t="inlineStr"/>
      <c r="P129" s="15" t="inlineStr"/>
      <c r="Q129" s="15" t="inlineStr"/>
      <c r="R129" s="15" t="inlineStr"/>
    </row>
    <row r="130">
      <c r="A130" s="4" t="inlineStr"/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</row>
    <row r="131">
      <c r="A131" s="15" t="inlineStr"/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  <c r="I131" s="15" t="inlineStr"/>
      <c r="J131" s="15" t="inlineStr"/>
      <c r="K131" s="15" t="inlineStr"/>
      <c r="L131" s="15" t="inlineStr"/>
      <c r="M131" s="15" t="inlineStr"/>
      <c r="N131" s="15" t="inlineStr"/>
      <c r="O131" s="15" t="inlineStr"/>
      <c r="P131" s="15" t="inlineStr"/>
      <c r="Q131" s="15" t="inlineStr"/>
      <c r="R131" s="15" t="inlineStr"/>
    </row>
    <row r="132">
      <c r="A132" s="4" t="inlineStr"/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</row>
    <row r="133">
      <c r="A133" s="15" t="inlineStr"/>
      <c r="B133" s="15" t="inlineStr"/>
      <c r="C133" s="15" t="inlineStr"/>
      <c r="D133" s="15" t="inlineStr"/>
      <c r="E133" s="15" t="inlineStr"/>
      <c r="F133" s="15" t="inlineStr"/>
      <c r="G133" s="15" t="inlineStr"/>
      <c r="H133" s="15" t="inlineStr"/>
      <c r="I133" s="15" t="inlineStr"/>
      <c r="J133" s="15" t="inlineStr"/>
      <c r="K133" s="15" t="inlineStr"/>
      <c r="L133" s="15" t="inlineStr"/>
      <c r="M133" s="15" t="inlineStr"/>
      <c r="N133" s="15" t="inlineStr"/>
      <c r="O133" s="15" t="inlineStr"/>
      <c r="P133" s="15" t="inlineStr"/>
      <c r="Q133" s="15" t="inlineStr"/>
      <c r="R133" s="15" t="inlineStr"/>
    </row>
    <row r="134">
      <c r="A134" s="4" t="inlineStr"/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</row>
    <row r="135">
      <c r="A135" s="15" t="inlineStr"/>
      <c r="B135" s="15" t="inlineStr"/>
      <c r="C135" s="15" t="inlineStr"/>
      <c r="D135" s="15" t="inlineStr"/>
      <c r="E135" s="15" t="inlineStr"/>
      <c r="F135" s="15" t="inlineStr"/>
      <c r="G135" s="15" t="inlineStr"/>
      <c r="H135" s="15" t="inlineStr"/>
      <c r="I135" s="15" t="inlineStr"/>
      <c r="J135" s="15" t="inlineStr"/>
      <c r="K135" s="15" t="inlineStr"/>
      <c r="L135" s="15" t="inlineStr"/>
      <c r="M135" s="15" t="inlineStr"/>
      <c r="N135" s="15" t="inlineStr"/>
      <c r="O135" s="15" t="inlineStr"/>
      <c r="P135" s="15" t="inlineStr"/>
      <c r="Q135" s="15" t="inlineStr"/>
      <c r="R135" s="15" t="inlineStr"/>
    </row>
    <row r="136">
      <c r="A136" s="4" t="inlineStr"/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</row>
    <row r="137">
      <c r="A137" s="15" t="inlineStr"/>
      <c r="B137" s="15" t="inlineStr"/>
      <c r="C137" s="15" t="inlineStr"/>
      <c r="D137" s="15" t="inlineStr"/>
      <c r="E137" s="15" t="inlineStr"/>
      <c r="F137" s="15" t="inlineStr"/>
      <c r="G137" s="15" t="inlineStr"/>
      <c r="H137" s="15" t="inlineStr"/>
      <c r="I137" s="15" t="inlineStr"/>
      <c r="J137" s="15" t="inlineStr"/>
      <c r="K137" s="15" t="inlineStr"/>
      <c r="L137" s="15" t="inlineStr"/>
      <c r="M137" s="15" t="inlineStr"/>
      <c r="N137" s="15" t="inlineStr"/>
      <c r="O137" s="15" t="inlineStr"/>
      <c r="P137" s="15" t="inlineStr"/>
      <c r="Q137" s="15" t="inlineStr"/>
      <c r="R137" s="15" t="inlineStr"/>
    </row>
    <row r="138">
      <c r="A138" s="4" t="inlineStr"/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</row>
    <row r="139">
      <c r="A139" s="15" t="inlineStr"/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5" t="inlineStr"/>
      <c r="M139" s="15" t="inlineStr"/>
      <c r="N139" s="15" t="inlineStr"/>
      <c r="O139" s="15" t="inlineStr"/>
      <c r="P139" s="15" t="inlineStr"/>
      <c r="Q139" s="15" t="inlineStr"/>
      <c r="R139" s="15" t="inlineStr"/>
    </row>
    <row r="140">
      <c r="A140" s="4" t="inlineStr"/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</row>
    <row r="141">
      <c r="A141" s="15" t="inlineStr"/>
      <c r="B141" s="15" t="inlineStr"/>
      <c r="C141" s="15" t="inlineStr"/>
      <c r="D141" s="15" t="inlineStr"/>
      <c r="E141" s="15" t="inlineStr"/>
      <c r="F141" s="15" t="inlineStr"/>
      <c r="G141" s="15" t="inlineStr"/>
      <c r="H141" s="15" t="inlineStr"/>
      <c r="I141" s="15" t="inlineStr"/>
      <c r="J141" s="15" t="inlineStr"/>
      <c r="K141" s="15" t="inlineStr"/>
      <c r="L141" s="15" t="inlineStr"/>
      <c r="M141" s="15" t="inlineStr"/>
      <c r="N141" s="15" t="inlineStr"/>
      <c r="O141" s="15" t="inlineStr"/>
      <c r="P141" s="15" t="inlineStr"/>
      <c r="Q141" s="15" t="inlineStr"/>
      <c r="R141" s="15" t="inlineStr"/>
    </row>
    <row r="142">
      <c r="A142" s="4" t="inlineStr"/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</row>
    <row r="143">
      <c r="A143" s="15" t="inlineStr"/>
      <c r="B143" s="15" t="inlineStr"/>
      <c r="C143" s="15" t="inlineStr"/>
      <c r="D143" s="15" t="inlineStr"/>
      <c r="E143" s="15" t="inlineStr"/>
      <c r="F143" s="15" t="inlineStr"/>
      <c r="G143" s="15" t="inlineStr"/>
      <c r="H143" s="15" t="inlineStr"/>
      <c r="I143" s="15" t="inlineStr"/>
      <c r="J143" s="15" t="inlineStr"/>
      <c r="K143" s="15" t="inlineStr"/>
      <c r="L143" s="15" t="inlineStr"/>
      <c r="M143" s="15" t="inlineStr"/>
      <c r="N143" s="15" t="inlineStr"/>
      <c r="O143" s="15" t="inlineStr"/>
      <c r="P143" s="15" t="inlineStr"/>
      <c r="Q143" s="15" t="inlineStr"/>
      <c r="R143" s="15" t="inlineStr"/>
    </row>
    <row r="144">
      <c r="A144" s="4" t="inlineStr"/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</row>
    <row r="145">
      <c r="A145" s="15" t="inlineStr"/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5" t="inlineStr"/>
      <c r="L145" s="15" t="inlineStr"/>
      <c r="M145" s="15" t="inlineStr"/>
      <c r="N145" s="15" t="inlineStr"/>
      <c r="O145" s="15" t="inlineStr"/>
      <c r="P145" s="15" t="inlineStr"/>
      <c r="Q145" s="15" t="inlineStr"/>
      <c r="R145" s="15" t="inlineStr"/>
    </row>
    <row r="146">
      <c r="A146" s="4" t="inlineStr"/>
      <c r="B146" s="4" t="inlineStr"/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</row>
    <row r="147">
      <c r="A147" s="15" t="inlineStr"/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5" t="inlineStr"/>
      <c r="K147" s="15" t="inlineStr"/>
      <c r="L147" s="15" t="inlineStr"/>
      <c r="M147" s="15" t="inlineStr"/>
      <c r="N147" s="15" t="inlineStr"/>
      <c r="O147" s="15" t="inlineStr"/>
      <c r="P147" s="15" t="inlineStr"/>
      <c r="Q147" s="15" t="inlineStr"/>
      <c r="R147" s="15" t="inlineStr"/>
    </row>
    <row r="148">
      <c r="A148" s="4" t="inlineStr"/>
      <c r="B148" s="4" t="inlineStr"/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</row>
    <row r="149">
      <c r="A149" s="15" t="inlineStr"/>
      <c r="B149" s="15" t="inlineStr"/>
      <c r="C149" s="15" t="inlineStr"/>
      <c r="D149" s="15" t="inlineStr"/>
      <c r="E149" s="15" t="inlineStr"/>
      <c r="F149" s="15" t="inlineStr"/>
      <c r="G149" s="15" t="inlineStr"/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5" t="inlineStr"/>
      <c r="P149" s="15" t="inlineStr"/>
      <c r="Q149" s="15" t="inlineStr"/>
      <c r="R149" s="15" t="inlineStr"/>
    </row>
    <row r="150">
      <c r="A150" s="4" t="inlineStr"/>
      <c r="B150" s="4" t="inlineStr"/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</row>
    <row r="151">
      <c r="A151" s="15" t="inlineStr"/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5" t="inlineStr"/>
      <c r="K151" s="15" t="inlineStr"/>
      <c r="L151" s="15" t="inlineStr"/>
      <c r="M151" s="15" t="inlineStr"/>
      <c r="N151" s="15" t="inlineStr"/>
      <c r="O151" s="15" t="inlineStr"/>
      <c r="P151" s="15" t="inlineStr"/>
      <c r="Q151" s="15" t="inlineStr"/>
      <c r="R151" s="15" t="inlineStr"/>
    </row>
    <row r="152">
      <c r="A152" s="4" t="inlineStr"/>
      <c r="B152" s="4" t="inlineStr"/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</row>
    <row r="153">
      <c r="A153" s="15" t="inlineStr"/>
      <c r="B153" s="15" t="inlineStr"/>
      <c r="C153" s="15" t="inlineStr"/>
      <c r="D153" s="15" t="inlineStr"/>
      <c r="E153" s="15" t="inlineStr"/>
      <c r="F153" s="15" t="inlineStr"/>
      <c r="G153" s="15" t="inlineStr"/>
      <c r="H153" s="15" t="inlineStr"/>
      <c r="I153" s="15" t="inlineStr"/>
      <c r="J153" s="15" t="inlineStr"/>
      <c r="K153" s="15" t="inlineStr"/>
      <c r="L153" s="15" t="inlineStr"/>
      <c r="M153" s="15" t="inlineStr"/>
      <c r="N153" s="15" t="inlineStr"/>
      <c r="O153" s="15" t="inlineStr"/>
      <c r="P153" s="15" t="inlineStr"/>
      <c r="Q153" s="15" t="inlineStr"/>
      <c r="R153" s="15" t="inlineStr"/>
    </row>
    <row r="154">
      <c r="A154" s="4" t="inlineStr"/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</row>
    <row r="155">
      <c r="A155" s="15" t="inlineStr"/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  <c r="I155" s="15" t="inlineStr"/>
      <c r="J155" s="15" t="inlineStr"/>
      <c r="K155" s="15" t="inlineStr"/>
      <c r="L155" s="15" t="inlineStr"/>
      <c r="M155" s="15" t="inlineStr"/>
      <c r="N155" s="15" t="inlineStr"/>
      <c r="O155" s="15" t="inlineStr"/>
      <c r="P155" s="15" t="inlineStr"/>
      <c r="Q155" s="15" t="inlineStr"/>
      <c r="R155" s="15" t="inlineStr"/>
    </row>
    <row r="156">
      <c r="A156" s="4" t="inlineStr"/>
      <c r="B156" s="4" t="inlineStr"/>
      <c r="C156" s="4" t="inlineStr"/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</row>
    <row r="157">
      <c r="A157" s="15" t="inlineStr"/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  <c r="I157" s="15" t="inlineStr"/>
      <c r="J157" s="15" t="inlineStr"/>
      <c r="K157" s="15" t="inlineStr"/>
      <c r="L157" s="15" t="inlineStr"/>
      <c r="M157" s="15" t="inlineStr"/>
      <c r="N157" s="15" t="inlineStr"/>
      <c r="O157" s="15" t="inlineStr"/>
      <c r="P157" s="15" t="inlineStr"/>
      <c r="Q157" s="15" t="inlineStr"/>
      <c r="R157" s="15" t="inlineStr"/>
    </row>
    <row r="158">
      <c r="A158" s="4" t="inlineStr"/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</row>
    <row r="159">
      <c r="A159" s="15" t="inlineStr"/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  <c r="I159" s="15" t="inlineStr"/>
      <c r="J159" s="15" t="inlineStr"/>
      <c r="K159" s="15" t="inlineStr"/>
      <c r="L159" s="15" t="inlineStr"/>
      <c r="M159" s="15" t="inlineStr"/>
      <c r="N159" s="15" t="inlineStr"/>
      <c r="O159" s="15" t="inlineStr"/>
      <c r="P159" s="15" t="inlineStr"/>
      <c r="Q159" s="15" t="inlineStr"/>
      <c r="R159" s="15" t="inlineStr"/>
    </row>
    <row r="160">
      <c r="A160" s="4" t="inlineStr"/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</row>
    <row r="161">
      <c r="A161" s="15" t="inlineStr"/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5" t="inlineStr"/>
      <c r="K161" s="15" t="inlineStr"/>
      <c r="L161" s="15" t="inlineStr"/>
      <c r="M161" s="15" t="inlineStr"/>
      <c r="N161" s="15" t="inlineStr"/>
      <c r="O161" s="15" t="inlineStr"/>
      <c r="P161" s="15" t="inlineStr"/>
      <c r="Q161" s="15" t="inlineStr"/>
      <c r="R161" s="15" t="inlineStr"/>
    </row>
    <row r="162">
      <c r="A162" s="4" t="inlineStr"/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</row>
    <row r="163">
      <c r="A163" s="15" t="inlineStr"/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5" t="inlineStr"/>
      <c r="L163" s="15" t="inlineStr"/>
      <c r="M163" s="15" t="inlineStr"/>
      <c r="N163" s="15" t="inlineStr"/>
      <c r="O163" s="15" t="inlineStr"/>
      <c r="P163" s="15" t="inlineStr"/>
      <c r="Q163" s="15" t="inlineStr"/>
      <c r="R163" s="15" t="inlineStr"/>
    </row>
    <row r="164">
      <c r="A164" s="4" t="inlineStr"/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</row>
    <row r="165">
      <c r="A165" s="15" t="inlineStr"/>
      <c r="B165" s="15" t="inlineStr"/>
      <c r="C165" s="15" t="inlineStr"/>
      <c r="D165" s="15" t="inlineStr"/>
      <c r="E165" s="15" t="inlineStr"/>
      <c r="F165" s="15" t="inlineStr"/>
      <c r="G165" s="15" t="inlineStr"/>
      <c r="H165" s="15" t="inlineStr"/>
      <c r="I165" s="15" t="inlineStr"/>
      <c r="J165" s="15" t="inlineStr"/>
      <c r="K165" s="15" t="inlineStr"/>
      <c r="L165" s="15" t="inlineStr"/>
      <c r="M165" s="15" t="inlineStr"/>
      <c r="N165" s="15" t="inlineStr"/>
      <c r="O165" s="15" t="inlineStr"/>
      <c r="P165" s="15" t="inlineStr"/>
      <c r="Q165" s="15" t="inlineStr"/>
      <c r="R165" s="15" t="inlineStr"/>
    </row>
    <row r="166">
      <c r="A166" s="4" t="inlineStr"/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</row>
    <row r="167">
      <c r="A167" s="15" t="inlineStr"/>
      <c r="B167" s="15" t="inlineStr"/>
      <c r="C167" s="15" t="inlineStr"/>
      <c r="D167" s="15" t="inlineStr"/>
      <c r="E167" s="15" t="inlineStr"/>
      <c r="F167" s="15" t="inlineStr"/>
      <c r="G167" s="15" t="inlineStr"/>
      <c r="H167" s="15" t="inlineStr"/>
      <c r="I167" s="15" t="inlineStr"/>
      <c r="J167" s="15" t="inlineStr"/>
      <c r="K167" s="15" t="inlineStr"/>
      <c r="L167" s="15" t="inlineStr"/>
      <c r="M167" s="15" t="inlineStr"/>
      <c r="N167" s="15" t="inlineStr"/>
      <c r="O167" s="15" t="inlineStr"/>
      <c r="P167" s="15" t="inlineStr"/>
      <c r="Q167" s="15" t="inlineStr"/>
      <c r="R167" s="15" t="inlineStr"/>
    </row>
    <row r="168">
      <c r="A168" s="4" t="inlineStr"/>
      <c r="B168" s="4" t="inlineStr"/>
      <c r="C168" s="4" t="inlineStr"/>
      <c r="D168" s="4" t="inlineStr"/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</row>
    <row r="169">
      <c r="A169" s="15" t="inlineStr"/>
      <c r="B169" s="15" t="inlineStr"/>
      <c r="C169" s="15" t="inlineStr"/>
      <c r="D169" s="15" t="inlineStr"/>
      <c r="E169" s="15" t="inlineStr"/>
      <c r="F169" s="15" t="inlineStr"/>
      <c r="G169" s="15" t="inlineStr"/>
      <c r="H169" s="15" t="inlineStr"/>
      <c r="I169" s="15" t="inlineStr"/>
      <c r="J169" s="15" t="inlineStr"/>
      <c r="K169" s="15" t="inlineStr"/>
      <c r="L169" s="15" t="inlineStr"/>
      <c r="M169" s="15" t="inlineStr"/>
      <c r="N169" s="15" t="inlineStr"/>
      <c r="O169" s="15" t="inlineStr"/>
      <c r="P169" s="15" t="inlineStr"/>
      <c r="Q169" s="15" t="inlineStr"/>
      <c r="R169" s="15" t="inlineStr"/>
    </row>
    <row r="170">
      <c r="A170" s="4" t="inlineStr"/>
      <c r="B170" s="4" t="inlineStr"/>
      <c r="C170" s="4" t="inlineStr"/>
      <c r="D170" s="4" t="inlineStr"/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</row>
    <row r="171">
      <c r="A171" s="15" t="inlineStr"/>
      <c r="B171" s="15" t="inlineStr"/>
      <c r="C171" s="15" t="inlineStr"/>
      <c r="D171" s="15" t="inlineStr"/>
      <c r="E171" s="15" t="inlineStr"/>
      <c r="F171" s="15" t="inlineStr"/>
      <c r="G171" s="15" t="inlineStr"/>
      <c r="H171" s="15" t="inlineStr"/>
      <c r="I171" s="15" t="inlineStr"/>
      <c r="J171" s="15" t="inlineStr"/>
      <c r="K171" s="15" t="inlineStr"/>
      <c r="L171" s="15" t="inlineStr"/>
      <c r="M171" s="15" t="inlineStr"/>
      <c r="N171" s="15" t="inlineStr"/>
      <c r="O171" s="15" t="inlineStr"/>
      <c r="P171" s="15" t="inlineStr"/>
      <c r="Q171" s="15" t="inlineStr"/>
      <c r="R171" s="15" t="inlineStr"/>
    </row>
    <row r="172">
      <c r="A172" s="4" t="inlineStr"/>
      <c r="B172" s="4" t="inlineStr"/>
      <c r="C172" s="4" t="inlineStr"/>
      <c r="D172" s="4" t="inlineStr"/>
      <c r="E172" s="4" t="inlineStr"/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</row>
    <row r="173">
      <c r="A173" s="15" t="inlineStr"/>
      <c r="B173" s="15" t="inlineStr"/>
      <c r="C173" s="15" t="inlineStr"/>
      <c r="D173" s="15" t="inlineStr"/>
      <c r="E173" s="15" t="inlineStr"/>
      <c r="F173" s="15" t="inlineStr"/>
      <c r="G173" s="15" t="inlineStr"/>
      <c r="H173" s="15" t="inlineStr"/>
      <c r="I173" s="15" t="inlineStr"/>
      <c r="J173" s="15" t="inlineStr"/>
      <c r="K173" s="15" t="inlineStr"/>
      <c r="L173" s="15" t="inlineStr"/>
      <c r="M173" s="15" t="inlineStr"/>
      <c r="N173" s="15" t="inlineStr"/>
      <c r="O173" s="15" t="inlineStr"/>
      <c r="P173" s="15" t="inlineStr"/>
      <c r="Q173" s="15" t="inlineStr"/>
      <c r="R173" s="15" t="inlineStr"/>
    </row>
    <row r="174">
      <c r="A174" s="4" t="inlineStr"/>
      <c r="B174" s="4" t="inlineStr"/>
      <c r="C174" s="4" t="inlineStr"/>
      <c r="D174" s="4" t="inlineStr"/>
      <c r="E174" s="4" t="inlineStr"/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</row>
    <row r="175">
      <c r="A175" s="15" t="inlineStr"/>
      <c r="B175" s="15" t="inlineStr"/>
      <c r="C175" s="15" t="inlineStr"/>
      <c r="D175" s="15" t="inlineStr"/>
      <c r="E175" s="15" t="inlineStr"/>
      <c r="F175" s="15" t="inlineStr"/>
      <c r="G175" s="15" t="inlineStr"/>
      <c r="H175" s="15" t="inlineStr"/>
      <c r="I175" s="15" t="inlineStr"/>
      <c r="J175" s="15" t="inlineStr"/>
      <c r="K175" s="15" t="inlineStr"/>
      <c r="L175" s="15" t="inlineStr"/>
      <c r="M175" s="15" t="inlineStr"/>
      <c r="N175" s="15" t="inlineStr"/>
      <c r="O175" s="15" t="inlineStr"/>
      <c r="P175" s="15" t="inlineStr"/>
      <c r="Q175" s="15" t="inlineStr"/>
      <c r="R175" s="15" t="inlineStr"/>
    </row>
    <row r="176">
      <c r="A176" s="4" t="inlineStr"/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</row>
    <row r="177">
      <c r="A177" s="15" t="inlineStr"/>
      <c r="B177" s="15" t="inlineStr"/>
      <c r="C177" s="15" t="inlineStr"/>
      <c r="D177" s="15" t="inlineStr"/>
      <c r="E177" s="15" t="inlineStr"/>
      <c r="F177" s="15" t="inlineStr"/>
      <c r="G177" s="15" t="inlineStr"/>
      <c r="H177" s="15" t="inlineStr"/>
      <c r="I177" s="15" t="inlineStr"/>
      <c r="J177" s="15" t="inlineStr"/>
      <c r="K177" s="15" t="inlineStr"/>
      <c r="L177" s="15" t="inlineStr"/>
      <c r="M177" s="15" t="inlineStr"/>
      <c r="N177" s="15" t="inlineStr"/>
      <c r="O177" s="15" t="inlineStr"/>
      <c r="P177" s="15" t="inlineStr"/>
      <c r="Q177" s="15" t="inlineStr"/>
      <c r="R177" s="15" t="inlineStr"/>
    </row>
    <row r="178">
      <c r="A178" s="4" t="inlineStr"/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</row>
    <row r="179">
      <c r="A179" s="15" t="inlineStr"/>
      <c r="B179" s="15" t="inlineStr"/>
      <c r="C179" s="15" t="inlineStr"/>
      <c r="D179" s="15" t="inlineStr"/>
      <c r="E179" s="15" t="inlineStr"/>
      <c r="F179" s="15" t="inlineStr"/>
      <c r="G179" s="15" t="inlineStr"/>
      <c r="H179" s="15" t="inlineStr"/>
      <c r="I179" s="15" t="inlineStr"/>
      <c r="J179" s="15" t="inlineStr"/>
      <c r="K179" s="15" t="inlineStr"/>
      <c r="L179" s="15" t="inlineStr"/>
      <c r="M179" s="15" t="inlineStr"/>
      <c r="N179" s="15" t="inlineStr"/>
      <c r="O179" s="15" t="inlineStr"/>
      <c r="P179" s="15" t="inlineStr"/>
      <c r="Q179" s="15" t="inlineStr"/>
      <c r="R179" s="15" t="inlineStr"/>
    </row>
    <row r="180">
      <c r="A180" s="4" t="inlineStr"/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</row>
    <row r="181">
      <c r="A181" s="15" t="inlineStr"/>
      <c r="B181" s="15" t="inlineStr"/>
      <c r="C181" s="15" t="inlineStr"/>
      <c r="D181" s="15" t="inlineStr"/>
      <c r="E181" s="15" t="inlineStr"/>
      <c r="F181" s="15" t="inlineStr"/>
      <c r="G181" s="15" t="inlineStr"/>
      <c r="H181" s="15" t="inlineStr"/>
      <c r="I181" s="15" t="inlineStr"/>
      <c r="J181" s="15" t="inlineStr"/>
      <c r="K181" s="15" t="inlineStr"/>
      <c r="L181" s="15" t="inlineStr"/>
      <c r="M181" s="15" t="inlineStr"/>
      <c r="N181" s="15" t="inlineStr"/>
      <c r="O181" s="15" t="inlineStr"/>
      <c r="P181" s="15" t="inlineStr"/>
      <c r="Q181" s="15" t="inlineStr"/>
      <c r="R181" s="15" t="inlineStr"/>
    </row>
    <row r="182">
      <c r="A182" s="4" t="inlineStr"/>
      <c r="B182" s="4" t="inlineStr"/>
      <c r="C182" s="4" t="inlineStr"/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</row>
    <row r="183">
      <c r="A183" s="15" t="inlineStr"/>
      <c r="B183" s="15" t="inlineStr"/>
      <c r="C183" s="15" t="inlineStr"/>
      <c r="D183" s="15" t="inlineStr"/>
      <c r="E183" s="15" t="inlineStr"/>
      <c r="F183" s="15" t="inlineStr"/>
      <c r="G183" s="15" t="inlineStr"/>
      <c r="H183" s="15" t="inlineStr"/>
      <c r="I183" s="15" t="inlineStr"/>
      <c r="J183" s="15" t="inlineStr"/>
      <c r="K183" s="15" t="inlineStr"/>
      <c r="L183" s="15" t="inlineStr"/>
      <c r="M183" s="15" t="inlineStr"/>
      <c r="N183" s="15" t="inlineStr"/>
      <c r="O183" s="15" t="inlineStr"/>
      <c r="P183" s="15" t="inlineStr"/>
      <c r="Q183" s="15" t="inlineStr"/>
      <c r="R183" s="15" t="inlineStr"/>
    </row>
    <row r="184">
      <c r="A184" s="4" t="inlineStr"/>
      <c r="B184" s="4" t="inlineStr"/>
      <c r="C184" s="4" t="inlineStr"/>
      <c r="D184" s="4" t="inlineStr"/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</row>
    <row r="185">
      <c r="A185" s="15" t="inlineStr"/>
      <c r="B185" s="15" t="inlineStr"/>
      <c r="C185" s="15" t="inlineStr"/>
      <c r="D185" s="15" t="inlineStr"/>
      <c r="E185" s="15" t="inlineStr"/>
      <c r="F185" s="15" t="inlineStr"/>
      <c r="G185" s="15" t="inlineStr"/>
      <c r="H185" s="15" t="inlineStr"/>
      <c r="I185" s="15" t="inlineStr"/>
      <c r="J185" s="15" t="inlineStr"/>
      <c r="K185" s="15" t="inlineStr"/>
      <c r="L185" s="15" t="inlineStr"/>
      <c r="M185" s="15" t="inlineStr"/>
      <c r="N185" s="15" t="inlineStr"/>
      <c r="O185" s="15" t="inlineStr"/>
      <c r="P185" s="15" t="inlineStr"/>
      <c r="Q185" s="15" t="inlineStr"/>
      <c r="R185" s="15" t="inlineStr"/>
    </row>
    <row r="186">
      <c r="A186" s="4" t="inlineStr"/>
      <c r="B186" s="4" t="inlineStr"/>
      <c r="C186" s="4" t="inlineStr"/>
      <c r="D186" s="4" t="inlineStr"/>
      <c r="E186" s="4" t="inlineStr"/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</row>
    <row r="187">
      <c r="A187" s="15" t="inlineStr"/>
      <c r="B187" s="15" t="inlineStr"/>
      <c r="C187" s="15" t="inlineStr"/>
      <c r="D187" s="15" t="inlineStr"/>
      <c r="E187" s="15" t="inlineStr"/>
      <c r="F187" s="15" t="inlineStr"/>
      <c r="G187" s="15" t="inlineStr"/>
      <c r="H187" s="15" t="inlineStr"/>
      <c r="I187" s="15" t="inlineStr"/>
      <c r="J187" s="15" t="inlineStr"/>
      <c r="K187" s="15" t="inlineStr"/>
      <c r="L187" s="15" t="inlineStr"/>
      <c r="M187" s="15" t="inlineStr"/>
      <c r="N187" s="15" t="inlineStr"/>
      <c r="O187" s="15" t="inlineStr"/>
      <c r="P187" s="15" t="inlineStr"/>
      <c r="Q187" s="15" t="inlineStr"/>
      <c r="R187" s="15" t="inlineStr"/>
    </row>
    <row r="188">
      <c r="A188" s="4" t="inlineStr"/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</row>
    <row r="189">
      <c r="A189" s="15" t="inlineStr"/>
      <c r="B189" s="15" t="inlineStr"/>
      <c r="C189" s="15" t="inlineStr"/>
      <c r="D189" s="15" t="inlineStr"/>
      <c r="E189" s="15" t="inlineStr"/>
      <c r="F189" s="15" t="inlineStr"/>
      <c r="G189" s="15" t="inlineStr"/>
      <c r="H189" s="15" t="inlineStr"/>
      <c r="I189" s="15" t="inlineStr"/>
      <c r="J189" s="15" t="inlineStr"/>
      <c r="K189" s="15" t="inlineStr"/>
      <c r="L189" s="15" t="inlineStr"/>
      <c r="M189" s="15" t="inlineStr"/>
      <c r="N189" s="15" t="inlineStr"/>
      <c r="O189" s="15" t="inlineStr"/>
      <c r="P189" s="15" t="inlineStr"/>
      <c r="Q189" s="15" t="inlineStr"/>
      <c r="R189" s="15" t="inlineStr"/>
    </row>
    <row r="190">
      <c r="A190" s="4" t="inlineStr"/>
      <c r="B190" s="4" t="inlineStr"/>
      <c r="C190" s="4" t="inlineStr"/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</row>
    <row r="191">
      <c r="A191" s="15" t="inlineStr"/>
      <c r="B191" s="15" t="inlineStr"/>
      <c r="C191" s="15" t="inlineStr"/>
      <c r="D191" s="15" t="inlineStr"/>
      <c r="E191" s="15" t="inlineStr"/>
      <c r="F191" s="15" t="inlineStr"/>
      <c r="G191" s="15" t="inlineStr"/>
      <c r="H191" s="15" t="inlineStr"/>
      <c r="I191" s="15" t="inlineStr"/>
      <c r="J191" s="15" t="inlineStr"/>
      <c r="K191" s="15" t="inlineStr"/>
      <c r="L191" s="15" t="inlineStr"/>
      <c r="M191" s="15" t="inlineStr"/>
      <c r="N191" s="15" t="inlineStr"/>
      <c r="O191" s="15" t="inlineStr"/>
      <c r="P191" s="15" t="inlineStr"/>
      <c r="Q191" s="15" t="inlineStr"/>
      <c r="R191" s="15" t="inlineStr"/>
    </row>
    <row r="192">
      <c r="A192" s="4" t="inlineStr"/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</row>
    <row r="193">
      <c r="A193" s="15" t="inlineStr"/>
      <c r="B193" s="15" t="inlineStr"/>
      <c r="C193" s="15" t="inlineStr"/>
      <c r="D193" s="15" t="inlineStr"/>
      <c r="E193" s="15" t="inlineStr"/>
      <c r="F193" s="15" t="inlineStr"/>
      <c r="G193" s="15" t="inlineStr"/>
      <c r="H193" s="15" t="inlineStr"/>
      <c r="I193" s="15" t="inlineStr"/>
      <c r="J193" s="15" t="inlineStr"/>
      <c r="K193" s="15" t="inlineStr"/>
      <c r="L193" s="15" t="inlineStr"/>
      <c r="M193" s="15" t="inlineStr"/>
      <c r="N193" s="15" t="inlineStr"/>
      <c r="O193" s="15" t="inlineStr"/>
      <c r="P193" s="15" t="inlineStr"/>
      <c r="Q193" s="15" t="inlineStr"/>
      <c r="R193" s="15" t="inlineStr"/>
    </row>
    <row r="194">
      <c r="A194" s="4" t="inlineStr"/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</row>
    <row r="195">
      <c r="A195" s="15" t="inlineStr"/>
      <c r="B195" s="15" t="inlineStr"/>
      <c r="C195" s="15" t="inlineStr"/>
      <c r="D195" s="15" t="inlineStr"/>
      <c r="E195" s="15" t="inlineStr"/>
      <c r="F195" s="15" t="inlineStr"/>
      <c r="G195" s="15" t="inlineStr"/>
      <c r="H195" s="15" t="inlineStr"/>
      <c r="I195" s="15" t="inlineStr"/>
      <c r="J195" s="15" t="inlineStr"/>
      <c r="K195" s="15" t="inlineStr"/>
      <c r="L195" s="15" t="inlineStr"/>
      <c r="M195" s="15" t="inlineStr"/>
      <c r="N195" s="15" t="inlineStr"/>
      <c r="O195" s="15" t="inlineStr"/>
      <c r="P195" s="15" t="inlineStr"/>
      <c r="Q195" s="15" t="inlineStr"/>
      <c r="R195" s="15" t="inlineStr"/>
    </row>
    <row r="196">
      <c r="A196" s="4" t="inlineStr"/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</row>
    <row r="197">
      <c r="A197" s="15" t="inlineStr"/>
      <c r="B197" s="15" t="inlineStr"/>
      <c r="C197" s="15" t="inlineStr"/>
      <c r="D197" s="15" t="inlineStr"/>
      <c r="E197" s="15" t="inlineStr"/>
      <c r="F197" s="15" t="inlineStr"/>
      <c r="G197" s="15" t="inlineStr"/>
      <c r="H197" s="15" t="inlineStr"/>
      <c r="I197" s="15" t="inlineStr"/>
      <c r="J197" s="15" t="inlineStr"/>
      <c r="K197" s="15" t="inlineStr"/>
      <c r="L197" s="15" t="inlineStr"/>
      <c r="M197" s="15" t="inlineStr"/>
      <c r="N197" s="15" t="inlineStr"/>
      <c r="O197" s="15" t="inlineStr"/>
      <c r="P197" s="15" t="inlineStr"/>
      <c r="Q197" s="15" t="inlineStr"/>
      <c r="R197" s="15" t="inlineStr"/>
    </row>
    <row r="198">
      <c r="A198" s="4" t="inlineStr"/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</row>
    <row r="199">
      <c r="A199" s="15" t="inlineStr"/>
      <c r="B199" s="15" t="inlineStr"/>
      <c r="C199" s="15" t="inlineStr"/>
      <c r="D199" s="15" t="inlineStr"/>
      <c r="E199" s="15" t="inlineStr"/>
      <c r="F199" s="15" t="inlineStr"/>
      <c r="G199" s="15" t="inlineStr"/>
      <c r="H199" s="15" t="inlineStr"/>
      <c r="I199" s="15" t="inlineStr"/>
      <c r="J199" s="15" t="inlineStr"/>
      <c r="K199" s="15" t="inlineStr"/>
      <c r="L199" s="15" t="inlineStr"/>
      <c r="M199" s="15" t="inlineStr"/>
      <c r="N199" s="15" t="inlineStr"/>
      <c r="O199" s="15" t="inlineStr"/>
      <c r="P199" s="15" t="inlineStr"/>
      <c r="Q199" s="15" t="inlineStr"/>
      <c r="R199" s="15" t="inlineStr"/>
    </row>
    <row r="200">
      <c r="A200" s="4" t="inlineStr"/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</row>
    <row r="201">
      <c r="A201" s="15" t="inlineStr"/>
      <c r="B201" s="15" t="inlineStr"/>
      <c r="C201" s="15" t="inlineStr"/>
      <c r="D201" s="15" t="inlineStr"/>
      <c r="E201" s="15" t="inlineStr"/>
      <c r="F201" s="15" t="inlineStr"/>
      <c r="G201" s="15" t="inlineStr"/>
      <c r="H201" s="15" t="inlineStr"/>
      <c r="I201" s="15" t="inlineStr"/>
      <c r="J201" s="15" t="inlineStr"/>
      <c r="K201" s="15" t="inlineStr"/>
      <c r="L201" s="15" t="inlineStr"/>
      <c r="M201" s="15" t="inlineStr"/>
      <c r="N201" s="15" t="inlineStr"/>
      <c r="O201" s="15" t="inlineStr"/>
      <c r="P201" s="15" t="inlineStr"/>
      <c r="Q201" s="15" t="inlineStr"/>
      <c r="R201" s="15" t="inlineStr"/>
    </row>
    <row r="202">
      <c r="A202" s="4" t="inlineStr"/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</row>
  </sheetData>
  <autoFilter ref="A2:R202"/>
  <mergeCells count="1">
    <mergeCell ref="A1:R1"/>
  </mergeCells>
  <conditionalFormatting sqref="E3:E202">
    <cfRule type="cellIs" priority="1" operator="equal" dxfId="1">
      <formula>"Critical"</formula>
    </cfRule>
    <cfRule type="cellIs" priority="2" operator="equal" dxfId="2">
      <formula>"High"</formula>
    </cfRule>
  </conditionalFormatting>
  <dataValidations count="3">
    <dataValidation sqref="E3:E202" showDropDown="0" showInputMessage="0" showErrorMessage="0" allowBlank="1" type="list">
      <formula1>"Critical,High,Medium,Low,Cosmetic"</formula1>
    </dataValidation>
    <dataValidation sqref="F3:F202" showDropDown="0" showInputMessage="0" showErrorMessage="0" allowBlank="1" type="list">
      <formula1>"P0,P1,P2,P3"</formula1>
    </dataValidation>
    <dataValidation sqref="G3:G202" showDropDown="0" showInputMessage="0" showErrorMessage="0" allowBlank="1" type="list">
      <formula1>"NEW,TRIAGED,IN_PROGRESS,RESOLVED,VERIFIED,CLOSED,REOPENED,WONT_FIX"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36" customHeight="1">
      <c r="A1" s="1" t="inlineStr">
        <is>
          <t>Test Run Sign-off</t>
        </is>
      </c>
    </row>
    <row r="3" ht="24" customHeight="1">
      <c r="A3" s="3" t="inlineStr">
        <is>
          <t>Test cycle / release</t>
        </is>
      </c>
      <c r="B3" s="4" t="inlineStr"/>
    </row>
    <row r="4" ht="24" customHeight="1">
      <c r="A4" s="3" t="inlineStr">
        <is>
          <t>Build / commit SHA</t>
        </is>
      </c>
      <c r="B4" s="4" t="inlineStr"/>
    </row>
    <row r="5" ht="24" customHeight="1">
      <c r="A5" s="3" t="inlineStr">
        <is>
          <t>Environment</t>
        </is>
      </c>
      <c r="B5" s="4" t="inlineStr">
        <is>
          <t>Local Docker dev OR Staging URL</t>
        </is>
      </c>
    </row>
    <row r="6" ht="24" customHeight="1">
      <c r="A6" s="3" t="inlineStr">
        <is>
          <t>Total cases planned</t>
        </is>
      </c>
      <c r="B6" s="4" t="inlineStr">
        <is>
          <t>174</t>
        </is>
      </c>
    </row>
    <row r="7" ht="24" customHeight="1">
      <c r="A7" s="3" t="inlineStr">
        <is>
          <t>Cases executed</t>
        </is>
      </c>
      <c r="B7" s="4" t="inlineStr">
        <is>
          <t>(count)</t>
        </is>
      </c>
    </row>
    <row r="8" ht="24" customHeight="1">
      <c r="A8" s="3" t="inlineStr">
        <is>
          <t>Pass count</t>
        </is>
      </c>
      <c r="B8" s="4">
        <f>COUNTIF('Master Test Plan'!N:N,"Pass")</f>
        <v/>
      </c>
    </row>
    <row r="9" ht="24" customHeight="1">
      <c r="A9" s="3" t="inlineStr">
        <is>
          <t>Fail count</t>
        </is>
      </c>
      <c r="B9" s="4">
        <f>COUNTIF('Master Test Plan'!N:N,"Fail")</f>
        <v/>
      </c>
    </row>
    <row r="10" ht="24" customHeight="1">
      <c r="A10" s="3" t="inlineStr">
        <is>
          <t>Blocked count</t>
        </is>
      </c>
      <c r="B10" s="4">
        <f>COUNTIF('Master Test Plan'!N:N,"Blocked")</f>
        <v/>
      </c>
    </row>
    <row r="11" ht="24" customHeight="1">
      <c r="A11" s="3" t="inlineStr">
        <is>
          <t>Not Run count</t>
        </is>
      </c>
      <c r="B11" s="4">
        <f>COUNTIF('Master Test Plan'!N:N,"Not Run")</f>
        <v/>
      </c>
    </row>
    <row r="12" ht="24" customHeight="1">
      <c r="A12" s="3" t="inlineStr">
        <is>
          <t>N/A count</t>
        </is>
      </c>
      <c r="B12" s="4">
        <f>COUNTIF('Master Test Plan'!N:N,"N/A")</f>
        <v/>
      </c>
    </row>
    <row r="13" ht="24" customHeight="1">
      <c r="A13" s="3" t="inlineStr">
        <is>
          <t>Pass rate</t>
        </is>
      </c>
      <c r="B13" s="4">
        <f>IFERROR(B7/(B7+B8+B9),"N/A")</f>
        <v/>
      </c>
    </row>
    <row r="14" ht="24" customHeight="1">
      <c r="A14" s="3" t="inlineStr">
        <is>
          <t>Open Critical defects</t>
        </is>
      </c>
      <c r="B14" s="4">
        <f>COUNTIFS('Defect Log'!E:E,"Critical",'Defect Log'!G:G,"&lt;&gt;CLOSED")</f>
        <v/>
      </c>
    </row>
    <row r="15" ht="24" customHeight="1">
      <c r="A15" s="3" t="inlineStr">
        <is>
          <t>Open High defects</t>
        </is>
      </c>
      <c r="B15" s="4">
        <f>COUNTIFS('Defect Log'!E:E,"High",'Defect Log'!G:G,"&lt;&gt;CLOSED")</f>
        <v/>
      </c>
    </row>
    <row r="16" ht="24" customHeight="1">
      <c r="A16" s="3" t="inlineStr">
        <is>
          <t>Recommendation</t>
        </is>
      </c>
      <c r="B16" s="4" t="inlineStr">
        <is>
          <t>GO / NO-GO</t>
        </is>
      </c>
    </row>
    <row r="17" ht="24" customHeight="1">
      <c r="A17" s="3" t="inlineStr">
        <is>
          <t>Notes</t>
        </is>
      </c>
      <c r="B17" s="4" t="inlineStr"/>
    </row>
    <row r="18" ht="24" customHeight="1">
      <c r="A18" s="3" t="inlineStr">
        <is>
          <t>QA lead</t>
        </is>
      </c>
      <c r="B18" s="4" t="inlineStr">
        <is>
          <t>Name / Signature / Date</t>
        </is>
      </c>
    </row>
    <row r="19" ht="24" customHeight="1">
      <c r="A19" s="3" t="inlineStr">
        <is>
          <t>Engineering lead</t>
        </is>
      </c>
      <c r="B19" s="4" t="inlineStr">
        <is>
          <t>Name / Signature / Date</t>
        </is>
      </c>
    </row>
    <row r="20" ht="24" customHeight="1">
      <c r="A20" s="3" t="inlineStr">
        <is>
          <t>Compliance lead</t>
        </is>
      </c>
      <c r="B20" s="4" t="inlineStr">
        <is>
          <t>Name / Signature / Date</t>
        </is>
      </c>
    </row>
    <row r="21" ht="24" customHeight="1">
      <c r="A21" s="3" t="inlineStr">
        <is>
          <t>Product owner</t>
        </is>
      </c>
      <c r="B21" s="4" t="inlineStr">
        <is>
          <t>Name / Signature / Date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2026-04-17T05:02:49Z</dcterms:created>
  <dcterms:modified xmlns:dcterms="http://purl.org/dc/terms/" xmlns:xsi="http://www.w3.org/2001/XMLSchema-instance" xsi:type="dcterms:W3CDTF">2026-04-17T05:02:51Z</dcterms:modified>
</cp:coreProperties>
</file>